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README" sheetId="1" state="visible" r:id="rId3"/>
    <sheet name="HT_Root" sheetId="2" state="visible" r:id="rId4"/>
    <sheet name="HT_Tip" sheetId="3" state="visible" r:id="rId5"/>
    <sheet name="VT_Root" sheetId="4" state="visible" r:id="rId6"/>
    <sheet name="VT_Ti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<sst xmlns="http://schemas.openxmlformats.org/spreadsheetml/2006/main" count="107" uniqueCount="68">
  <si>
    <t xml:space="preserve">AIRCRAFT_EMPENNAGE_TRANSFORM_MICRO26 — SAE Aero 2026 Micro, guide §8.6</t>
  </si>
  <si>
    <t xml:space="preserve">Derived artifact. Master data lives in skeleton_equations_micro.txt and NACA0012_coords_raw.txt.</t>
  </si>
  <si>
    <t xml:space="preserve">Preferred regeneration path: python3 gen_empennage_xyz.py — it reads the equations file directly and</t>
  </si>
  <si>
    <t xml:space="preserve">writes the same eight .txt streams this workbook exports. Use this workbook to see the transform, or</t>
  </si>
  <si>
    <t xml:space="preserve">to follow §8.6 Part A by hand.</t>
  </si>
  <si>
    <t xml:space="preserve">WHICH CELLS TO EDIT</t>
  </si>
  <si>
    <t xml:space="preserve">Blue-on-yellow cells in Row 1 of each sheet (E1..L1) are the only inputs; everything else is a formula.</t>
  </si>
  <si>
    <t xml:space="preserve">Re-enter Row 1 from Tools ▸ Equations ▸ Value column whenever a tail global moves.</t>
  </si>
  <si>
    <t xml:space="preserve">Columns A/B hold the normalised NACA 0012 loop in rows 3..133. LE apex row = 68.</t>
  </si>
  <si>
    <t xml:space="preserve">Trailing edge is CLOSED: B3 and B133 are overridden to 0 (the raw file carries ±0.00126).</t>
  </si>
  <si>
    <t xml:space="preserve">VERTICAL DATUM — K1 AND L1</t>
  </si>
  <si>
    <t xml:space="preserve">The empennage is referenced to AX_Long_Emp, which sits y_emp_axis above AX_Long, so every sheet carries</t>
  </si>
  <si>
    <t xml:space="preserve">L1 = y_emp_axis. Both root leading edges therefore land at the same height, Y = y_emp_axis. That is the</t>
  </si>
  <si>
    <t xml:space="preserve">design intent — do not change L1 on one surface only.</t>
  </si>
  <si>
    <t xml:space="preserve">K1 is the fin-root height measured FROM AX_Long_Emp, and it is 0: the fin roots on the boom axis. It is</t>
  </si>
  <si>
    <t xml:space="preserve">NOT h_tail_top. h_tail_top is measured from the waterline; using it here would push the fin root above</t>
  </si>
  <si>
    <t xml:space="preserve">the HT root LE. K1 is the placeholder for a future y_VT_root global — if the fin ever needs to sit proud</t>
  </si>
  <si>
    <t xml:space="preserve">of the boom, add that global and read K1 from it rather than typing a number.</t>
  </si>
  <si>
    <t xml:space="preserve">KNOWN INCONSISTENCY — h_VT_tip</t>
  </si>
  <si>
    <t xml:space="preserve">The equations file still defines h_VT_tip = h_tail_top + b_VT, which described the old waterline-seated</t>
  </si>
  <si>
    <t xml:space="preserve">The equations file still defines h_VT_tip = h_tail_top + b_VT. With the fin on the boom axis the real fin-top height is y_emp_axis + b_VT = 225.000001.</t>
  </si>
  <si>
    <t xml:space="preserve">h_VT_tip currently reads 235.789151. Nothing in this workbook uses it; anything else that does is wrong.</t>
  </si>
  <si>
    <t xml:space="preserve">INCIDENCE SENSE — READ BEFORE CHANGING F1</t>
  </si>
  <si>
    <t xml:space="preserve">i_HT is stored in the equations file as a POSITIVE magnitude (+2.0) under the positive-magnitude rule;</t>
  </si>
  <si>
    <t xml:space="preserve">the nose-DOWN direction is carried by the Flip on PLN_Incidence_HT. A spreadsheet has no plane to flip,</t>
  </si>
  <si>
    <t xml:space="preserve">so F1 on both HT sheets is entered as the NEGATIVE of i_HT. A positive F1 here builds a nose-UP</t>
  </si>
  <si>
    <t xml:space="preserve">stabiliser. Do not make i_HT negative in the equations file — check.py will fail.</t>
  </si>
  <si>
    <t xml:space="preserve">SOURCE OF THE ROW 1 VALUES — resolved from skeleton_equations_micro.txt</t>
  </si>
  <si>
    <t xml:space="preserve">    c_root_HT      = 170.000000</t>
  </si>
  <si>
    <t xml:space="preserve">    c_tip_HT       = 170.000000</t>
  </si>
  <si>
    <t xml:space="preserve">    c_root_VT      = 170.000000</t>
  </si>
  <si>
    <t xml:space="preserve">    c_tip_VT       = 90.000000</t>
  </si>
  <si>
    <t xml:space="preserve">    b_semi_HT      = 200.000000</t>
  </si>
  <si>
    <t xml:space="preserve">    b_VT           = 200.000000</t>
  </si>
  <si>
    <t xml:space="preserve">    i_HT           = 2.000000</t>
  </si>
  <si>
    <t xml:space="preserve">    sweep_HT       = 0.000000</t>
  </si>
  <si>
    <t xml:space="preserve">    sweep_VT       = 21.801409</t>
  </si>
  <si>
    <t xml:space="preserve">    dihedral_HT    = 0.000000</t>
  </si>
  <si>
    <t xml:space="preserve">    x_HT_LE_root   = 750.000000</t>
  </si>
  <si>
    <t xml:space="preserve">    x_VT_LE_root   = 750.000000</t>
  </si>
  <si>
    <t xml:space="preserve">    y_emp_axis     = 25.000000</t>
  </si>
  <si>
    <t xml:space="preserve">    K1 fin-root seat = 0.000000   (not a global yet; see above)</t>
  </si>
  <si>
    <t xml:space="preserve">PIVOT — THE EMPENNAGE DIFFERS FROM THE WING</t>
  </si>
  <si>
    <t xml:space="preserve">The HT sheets rotate each section about its LEADING EDGE, matching how XFLR5 applies a surface tilt</t>
  </si>
  <si>
    <t xml:space="preserve">angle. The wing workbook (AIRCRAFT_AIRFOIL_TRANSFORM_MICRO26.xlsx, guide §8.2) rotates about the</t>
  </si>
  <si>
    <t xml:space="preserve">QUARTER CHORD. The two differ by a rigid chordwise shift of 0.25*c*(1-cos i), and the LE-pivot form is</t>
  </si>
  <si>
    <t xml:space="preserve">what puts the HT root leading edge exactly on x_HT_LE_root, where the VT root leading edge also sits.</t>
  </si>
  <si>
    <t xml:space="preserve">The residual TE gap between the two surfaces is then c*(1-cos i), which XFLR5 has as well.</t>
  </si>
  <si>
    <t xml:space="preserve">Both conventions are identical at zero incidence. The VT sheets are unaffected — the fin has no tilt.</t>
  </si>
  <si>
    <t xml:space="preserve">HT root — NACA 0012</t>
  </si>
  <si>
    <t xml:space="preserve">x_norm</t>
  </si>
  <si>
    <t xml:space="preserve">y_norm</t>
  </si>
  <si>
    <t xml:space="preserve">SW X</t>
  </si>
  <si>
    <t xml:space="preserve">SW Y</t>
  </si>
  <si>
    <t xml:space="preserve">SW Z</t>
  </si>
  <si>
    <t xml:space="preserve">F1 incidence [deg]</t>
  </si>
  <si>
    <t xml:space="preserve">G1 span station [mm]</t>
  </si>
  <si>
    <t xml:space="preserve">H1 LE sweep [deg]</t>
  </si>
  <si>
    <t xml:space="preserve">I1 dihedral [deg]</t>
  </si>
  <si>
    <t xml:space="preserve">J1 root-LE station [mm]</t>
  </si>
  <si>
    <t xml:space="preserve">L1 empennage lift = y_emp_axis [mm]</t>
  </si>
  <si>
    <t xml:space="preserve">TE closed to 0 in B3 and B133 — see _README</t>
  </si>
  <si>
    <t xml:space="preserve">LE apex row = 68; split both streams there, including it twice</t>
  </si>
  <si>
    <t xml:space="preserve">Rotation pivot = section LEADING EDGE (XFLR5 tilt convention), not the quarter chord</t>
  </si>
  <si>
    <t xml:space="preserve">HT tip — NACA 0012</t>
  </si>
  <si>
    <t xml:space="preserve">VT root — NACA 0012</t>
  </si>
  <si>
    <t xml:space="preserve">K1 fin-root seat above AX_Long_Emp [mm]</t>
  </si>
  <si>
    <t xml:space="preserve">VT tip — NACA 0012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</si>
</sst>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4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2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2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/>
    </row>
    <row r="23" customFormat="false" ht="15" hidden="false" customHeight="true" outlineLevel="0" collapsed="false">
      <c r="A23" s="2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true" outlineLevel="0" collapsed="false">
      <c r="A25" s="3" t="s">
        <v>20</v>
      </c>
    </row>
    <row r="26" customFormat="false" ht="15" hidden="false" customHeight="true" outlineLevel="0" collapsed="false">
      <c r="A26" s="3" t="s">
        <v>21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2" t="s">
        <v>22</v>
      </c>
    </row>
    <row r="29" customFormat="false" ht="15" hidden="false" customHeight="true" outlineLevel="0" collapsed="false">
      <c r="A29" s="3" t="s">
        <v>23</v>
      </c>
    </row>
    <row r="30" customFormat="false" ht="15" hidden="false" customHeight="true" outlineLevel="0" collapsed="false">
      <c r="A30" s="3" t="s">
        <v>24</v>
      </c>
    </row>
    <row r="31" customFormat="false" ht="15" hidden="false" customHeight="true" outlineLevel="0" collapsed="false">
      <c r="A31" s="3" t="s">
        <v>25</v>
      </c>
    </row>
    <row r="32" customFormat="false" ht="15" hidden="false" customHeight="true" outlineLevel="0" collapsed="false">
      <c r="A32" s="3" t="s">
        <v>26</v>
      </c>
    </row>
    <row r="33" customFormat="false" ht="15" hidden="false" customHeight="true" outlineLevel="0" collapsed="false">
      <c r="A33" s="3"/>
    </row>
    <row r="34" customFormat="false" ht="15" hidden="false" customHeight="true" outlineLevel="0" collapsed="false">
      <c r="A34" s="2" t="s">
        <v>27</v>
      </c>
    </row>
    <row r="35" customFormat="false" ht="15" hidden="false" customHeight="true" outlineLevel="0" collapsed="false">
      <c r="A35" s="3" t="s">
        <v>28</v>
      </c>
    </row>
    <row r="36" customFormat="false" ht="15" hidden="false" customHeight="true" outlineLevel="0" collapsed="false">
      <c r="A36" s="3" t="s">
        <v>29</v>
      </c>
    </row>
    <row r="37" customFormat="false" ht="15" hidden="false" customHeight="true" outlineLevel="0" collapsed="false">
      <c r="A37" s="3" t="s">
        <v>30</v>
      </c>
    </row>
    <row r="38" customFormat="false" ht="15" hidden="false" customHeight="true" outlineLevel="0" collapsed="false">
      <c r="A38" s="3" t="s">
        <v>31</v>
      </c>
    </row>
    <row r="39" customFormat="false" ht="15" hidden="false" customHeight="true" outlineLevel="0" collapsed="false">
      <c r="A39" s="3" t="s">
        <v>32</v>
      </c>
    </row>
    <row r="40" customFormat="false" ht="15" hidden="false" customHeight="true" outlineLevel="0" collapsed="false">
      <c r="A40" s="3" t="s">
        <v>33</v>
      </c>
    </row>
    <row r="41" customFormat="false" ht="15" hidden="false" customHeight="true" outlineLevel="0" collapsed="false">
      <c r="A41" s="3" t="s">
        <v>34</v>
      </c>
    </row>
    <row r="42" customFormat="false" ht="15" hidden="false" customHeight="true" outlineLevel="0" collapsed="false">
      <c r="A42" s="3" t="s">
        <v>35</v>
      </c>
    </row>
    <row r="43" customFormat="false" ht="15" hidden="false" customHeight="true" outlineLevel="0" collapsed="false">
      <c r="A43" s="3" t="s">
        <v>36</v>
      </c>
    </row>
    <row r="44" customFormat="false" ht="15" hidden="false" customHeight="true" outlineLevel="0" collapsed="false">
      <c r="A44" s="3" t="s">
        <v>37</v>
      </c>
    </row>
    <row r="45" customFormat="false" ht="15" hidden="false" customHeight="true" outlineLevel="0" collapsed="false">
      <c r="A45" s="3" t="s">
        <v>38</v>
      </c>
    </row>
    <row r="46" customFormat="false" ht="15" hidden="false" customHeight="true" outlineLevel="0" collapsed="false">
      <c r="A46" s="3" t="s">
        <v>39</v>
      </c>
    </row>
    <row r="47" customFormat="false" ht="15" hidden="false" customHeight="true" outlineLevel="0" collapsed="false">
      <c r="A47" s="3" t="s">
        <v>40</v>
      </c>
    </row>
    <row r="48" customFormat="false" ht="15" hidden="false" customHeight="true" outlineLevel="0" collapsed="false">
      <c r="A48" s="3" t="s">
        <v>41</v>
      </c>
    </row>
    <row r="50" customFormat="false" ht="15" hidden="false" customHeight="true" outlineLevel="0" collapsed="false">
      <c r="A50" s="2" t="s">
        <v>42</v>
      </c>
    </row>
    <row r="51" customFormat="false" ht="15" hidden="false" customHeight="true" outlineLevel="0" collapsed="false">
      <c r="A51" s="3" t="s">
        <v>43</v>
      </c>
    </row>
    <row r="52" customFormat="false" ht="15" hidden="false" customHeight="true" outlineLevel="0" collapsed="false">
      <c r="A52" s="3" t="s">
        <v>44</v>
      </c>
    </row>
    <row r="53" customFormat="false" ht="15" hidden="false" customHeight="true" outlineLevel="0" collapsed="false">
      <c r="A53" s="3" t="s">
        <v>45</v>
      </c>
    </row>
    <row r="54" customFormat="false" ht="15" hidden="false" customHeight="true" outlineLevel="0" collapsed="false">
      <c r="A54" s="3" t="s">
        <v>46</v>
      </c>
    </row>
    <row r="55" customFormat="false" ht="15" hidden="false" customHeight="true" outlineLevel="0" collapsed="false">
      <c r="A55" s="3" t="s">
        <v>47</v>
      </c>
    </row>
    <row r="56" customFormat="false" ht="15" hidden="false" customHeight="true" outlineLevel="0" collapsed="false">
      <c r="A56" s="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49</v>
      </c>
      <c r="E1" s="4" t="n">
        <v>170</v>
      </c>
      <c r="F1" s="4" t="n">
        <v>-2</v>
      </c>
      <c r="G1" s="4" t="n">
        <v>0</v>
      </c>
      <c r="H1" s="4" t="n">
        <v>0</v>
      </c>
      <c r="I1" s="4" t="n">
        <v>0</v>
      </c>
      <c r="J1" s="4" t="n">
        <v>750</v>
      </c>
      <c r="L1" s="4" t="n">
        <v>25</v>
      </c>
    </row>
    <row r="2" customFormat="false" ht="15" hidden="false" customHeight="tru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58</v>
      </c>
      <c r="J2" s="5" t="s">
        <v>59</v>
      </c>
      <c r="L2" s="5" t="s">
        <v>60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$G$1</f>
        <v>0</v>
      </c>
      <c r="D3" s="6" t="n">
        <f aca="false">(( -A3 ) * SIN(RADIANS($F$1)) + (B3 - 0) * COS(RADIANS($F$1))) * $E$1 + ($G$1 * TAN(RADIANS($I$1))) + $L$1</f>
        <v>30.9329144394252</v>
      </c>
      <c r="E3" s="6" t="n">
        <f aca="false">(( -A3 ) * COS(RADIANS($F$1)) - (B3 - 0) * SIN(RADIANS($F$1))) * $E$1 - ($G$1 * TAN(RADIANS($H$1))) - $J$1</f>
        <v>-919.896440593246</v>
      </c>
      <c r="N3" s="5" t="s">
        <v>61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$G$1</f>
        <v>0</v>
      </c>
      <c r="D4" s="6" t="n">
        <f aca="false">(( -A4 ) * SIN(RADIANS($F$1)) + (B4 - 0) * COS(RADIANS($F$1))) * $E$1 + ($G$1 * TAN(RADIANS($I$1))) + $L$1</f>
        <v>31.1574506406687</v>
      </c>
      <c r="E4" s="6" t="n">
        <f aca="false">(( -A4 ) * COS(RADIANS($F$1)) - (B4 - 0) * SIN(RADIANS($F$1))) * $E$1 - ($G$1 * TAN(RADIANS($H$1))) - $J$1</f>
        <v>-919.789259100762</v>
      </c>
      <c r="N4" s="5" t="s">
        <v>62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$G$1</f>
        <v>0</v>
      </c>
      <c r="D5" s="6" t="n">
        <f aca="false">(( -A5 ) * SIN(RADIANS($F$1)) + (B5 - 0) * COS(RADIANS($F$1))) * $E$1 + ($G$1 * TAN(RADIANS($I$1))) + $L$1</f>
        <v>31.188692668345</v>
      </c>
      <c r="E5" s="6" t="n">
        <f aca="false">(( -A5 ) * COS(RADIANS($F$1)) - (B5 - 0) * SIN(RADIANS($F$1))) * $E$1 - ($G$1 * TAN(RADIANS($H$1))) - $J$1</f>
        <v>-919.490486765686</v>
      </c>
      <c r="N5" s="5" t="s">
        <v>63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$G$1</f>
        <v>0</v>
      </c>
      <c r="D6" s="6" t="n">
        <f aca="false">(( -A6 ) * SIN(RADIANS($F$1)) + (B6 - 0) * COS(RADIANS($F$1))) * $E$1 + ($G$1 * TAN(RADIANS($I$1))) + $L$1</f>
        <v>31.2405579399044</v>
      </c>
      <c r="E6" s="6" t="n">
        <f aca="false">(( -A6 ) * COS(RADIANS($F$1)) - (B6 - 0) * SIN(RADIANS($F$1))) * $E$1 - ($G$1 * TAN(RADIANS($H$1))) - $J$1</f>
        <v>-918.993163738061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$G$1</f>
        <v>0</v>
      </c>
      <c r="D7" s="6" t="n">
        <f aca="false">(( -A7 ) * SIN(RADIANS($F$1)) + (B7 - 0) * COS(RADIANS($F$1))) * $E$1 + ($G$1 * TAN(RADIANS($I$1))) + $L$1</f>
        <v>31.3125842293406</v>
      </c>
      <c r="E7" s="6" t="n">
        <f aca="false">(( -A7 ) * COS(RADIANS($F$1)) - (B7 - 0) * SIN(RADIANS($F$1))) * $E$1 - ($G$1 * TAN(RADIANS($H$1))) - $J$1</f>
        <v>-918.298666988155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$G$1</f>
        <v>0</v>
      </c>
      <c r="D8" s="6" t="n">
        <f aca="false">(( -A8 ) * SIN(RADIANS($F$1)) + (B8 - 0) * COS(RADIANS($F$1))) * $E$1 + ($G$1 * TAN(RADIANS($I$1))) + $L$1</f>
        <v>31.4039754506806</v>
      </c>
      <c r="E8" s="6" t="n">
        <f aca="false">(( -A8 ) * COS(RADIANS($F$1)) - (B8 - 0) * SIN(RADIANS($F$1))) * $E$1 - ($G$1 * TAN(RADIANS($H$1))) - $J$1</f>
        <v>-917.408555248506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$G$1</f>
        <v>0</v>
      </c>
      <c r="D9" s="6" t="n">
        <f aca="false">(( -A9 ) * SIN(RADIANS($F$1)) + (B9 - 0) * COS(RADIANS($F$1))) * $E$1 + ($G$1 * TAN(RADIANS($I$1))) + $L$1</f>
        <v>31.5144630060164</v>
      </c>
      <c r="E9" s="6" t="n">
        <f aca="false">(( -A9 ) * COS(RADIANS($F$1)) - (B9 - 0) * SIN(RADIANS($F$1))) * $E$1 - ($G$1 * TAN(RADIANS($H$1))) - $J$1</f>
        <v>-916.324879142229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$G$1</f>
        <v>0</v>
      </c>
      <c r="D10" s="6" t="n">
        <f aca="false">(( -A10 ) * SIN(RADIANS($F$1)) + (B10 - 0) * COS(RADIANS($F$1))) * $E$1 + ($G$1 * TAN(RADIANS($I$1))) + $L$1</f>
        <v>31.6429466139806</v>
      </c>
      <c r="E10" s="6" t="n">
        <f aca="false">(( -A10 ) * COS(RADIANS($F$1)) - (B10 - 0) * SIN(RADIANS($F$1))) * $E$1 - ($G$1 * TAN(RADIANS($H$1))) - $J$1</f>
        <v>-915.050228646334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$G$1</f>
        <v>0</v>
      </c>
      <c r="D11" s="6" t="n">
        <f aca="false">(( -A11 ) * SIN(RADIANS($F$1)) + (B11 - 0) * COS(RADIANS($F$1))) * $E$1 + ($G$1 * TAN(RADIANS($I$1))) + $L$1</f>
        <v>31.7883378590344</v>
      </c>
      <c r="E11" s="6" t="n">
        <f aca="false">(( -A11 ) * COS(RADIANS($F$1)) - (B11 - 0) * SIN(RADIANS($F$1))) * $E$1 - ($G$1 * TAN(RADIANS($H$1))) - $J$1</f>
        <v>-913.587533530713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$G$1</f>
        <v>0</v>
      </c>
      <c r="D12" s="6" t="n">
        <f aca="false">(( -A12 ) * SIN(RADIANS($F$1)) + (B12 - 0) * COS(RADIANS($F$1))) * $E$1 + ($G$1 * TAN(RADIANS($I$1))) + $L$1</f>
        <v>31.9497419537374</v>
      </c>
      <c r="E12" s="6" t="n">
        <f aca="false">(( -A12 ) * COS(RADIANS($F$1)) - (B12 - 0) * SIN(RADIANS($F$1))) * $E$1 - ($G$1 * TAN(RADIANS($H$1))) - $J$1</f>
        <v>-911.940397218104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$G$1</f>
        <v>0</v>
      </c>
      <c r="D13" s="6" t="n">
        <f aca="false">(( -A13 ) * SIN(RADIANS($F$1)) + (B13 - 0) * COS(RADIANS($F$1))) * $E$1 + ($G$1 * TAN(RADIANS($I$1))) + $L$1</f>
        <v>32.1259302506827</v>
      </c>
      <c r="E13" s="6" t="n">
        <f aca="false">(( -A13 ) * COS(RADIANS($F$1)) - (B13 - 0) * SIN(RADIANS($F$1))) * $E$1 - ($G$1 * TAN(RADIANS($H$1))) - $J$1</f>
        <v>-910.112604893517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$G$1</f>
        <v>0</v>
      </c>
      <c r="D14" s="6" t="n">
        <f aca="false">(( -A14 ) * SIN(RADIANS($F$1)) + (B14 - 0) * COS(RADIANS($F$1))) * $E$1 + ($G$1 * TAN(RADIANS($I$1))) + $L$1</f>
        <v>32.3156919012064</v>
      </c>
      <c r="E14" s="6" t="n">
        <f aca="false">(( -A14 ) * COS(RADIANS($F$1)) - (B14 - 0) * SIN(RADIANS($F$1))) * $E$1 - ($G$1 * TAN(RADIANS($H$1))) - $J$1</f>
        <v>-908.108451431282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$G$1</f>
        <v>0</v>
      </c>
      <c r="D15" s="6" t="n">
        <f aca="false">(( -A15 ) * SIN(RADIANS($F$1)) + (B15 - 0) * COS(RADIANS($F$1))) * $E$1 + ($G$1 * TAN(RADIANS($I$1))) + $L$1</f>
        <v>32.5174881295925</v>
      </c>
      <c r="E15" s="6" t="n">
        <f aca="false">(( -A15 ) * COS(RADIANS($F$1)) - (B15 - 0) * SIN(RADIANS($F$1))) * $E$1 - ($G$1 * TAN(RADIANS($H$1))) - $J$1</f>
        <v>-905.932583364438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$G$1</f>
        <v>0</v>
      </c>
      <c r="D16" s="6" t="n">
        <f aca="false">(( -A16 ) * SIN(RADIANS($F$1)) + (B16 - 0) * COS(RADIANS($F$1))) * $E$1 + ($G$1 * TAN(RADIANS($I$1))) + $L$1</f>
        <v>32.7303135811045</v>
      </c>
      <c r="E16" s="6" t="n">
        <f aca="false">(( -A16 ) * COS(RADIANS($F$1)) - (B16 - 0) * SIN(RADIANS($F$1))) * $E$1 - ($G$1 * TAN(RADIANS($H$1))) - $J$1</f>
        <v>-903.590309013046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$G$1</f>
        <v>0</v>
      </c>
      <c r="D17" s="6" t="n">
        <f aca="false">(( -A17 ) * SIN(RADIANS($F$1)) + (B17 - 0) * COS(RADIANS($F$1))) * $E$1 + ($G$1 * TAN(RADIANS($I$1))) + $L$1</f>
        <v>32.9526472787695</v>
      </c>
      <c r="E17" s="6" t="n">
        <f aca="false">(( -A17 ) * COS(RADIANS($F$1)) - (B17 - 0) * SIN(RADIANS($F$1))) * $E$1 - ($G$1 * TAN(RADIANS($H$1))) - $J$1</f>
        <v>-901.086784599468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$G$1</f>
        <v>0</v>
      </c>
      <c r="D18" s="6" t="n">
        <f aca="false">(( -A18 ) * SIN(RADIANS($F$1)) + (B18 - 0) * COS(RADIANS($F$1))) * $E$1 + ($G$1 * TAN(RADIANS($I$1))) + $L$1</f>
        <v>33.1830038431015</v>
      </c>
      <c r="E18" s="6" t="n">
        <f aca="false">(( -A18 ) * COS(RADIANS($F$1)) - (B18 - 0) * SIN(RADIANS($F$1))) * $E$1 - ($G$1 * TAN(RADIANS($H$1))) - $J$1</f>
        <v>-898.428185724709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$G$1</f>
        <v>0</v>
      </c>
      <c r="D19" s="6" t="n">
        <f aca="false">(( -A19 ) * SIN(RADIANS($F$1)) + (B19 - 0) * COS(RADIANS($F$1))) * $E$1 + ($G$1 * TAN(RADIANS($I$1))) + $L$1</f>
        <v>33.4200737239695</v>
      </c>
      <c r="E19" s="6" t="n">
        <f aca="false">(( -A19 ) * COS(RADIANS($F$1)) - (B19 - 0) * SIN(RADIANS($F$1))) * $E$1 - ($G$1 * TAN(RADIANS($H$1))) - $J$1</f>
        <v>-895.620851953302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$G$1</f>
        <v>0</v>
      </c>
      <c r="D20" s="6" t="n">
        <f aca="false">(( -A20 ) * SIN(RADIANS($F$1)) + (B20 - 0) * COS(RADIANS($F$1))) * $E$1 + ($G$1 * TAN(RADIANS($I$1))) + $L$1</f>
        <v>33.6623715418873</v>
      </c>
      <c r="E20" s="6" t="n">
        <f aca="false">(( -A20 ) * COS(RADIANS($F$1)) - (B20 - 0) * SIN(RADIANS($F$1))) * $E$1 - ($G$1 * TAN(RADIANS($H$1))) - $J$1</f>
        <v>-892.670958886251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$G$1</f>
        <v>0</v>
      </c>
      <c r="D21" s="6" t="n">
        <f aca="false">(( -A21 ) * SIN(RADIANS($F$1)) + (B21 - 0) * COS(RADIANS($F$1))) * $E$1 + ($G$1 * TAN(RADIANS($I$1))) + $L$1</f>
        <v>33.9082776184147</v>
      </c>
      <c r="E21" s="6" t="n">
        <f aca="false">(( -A21 ) * COS(RADIANS($F$1)) - (B21 - 0) * SIN(RADIANS($F$1))) * $E$1 - ($G$1 * TAN(RADIANS($H$1))) - $J$1</f>
        <v>-889.585707436122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$G$1</f>
        <v>0</v>
      </c>
      <c r="D22" s="6" t="n">
        <f aca="false">(( -A22 ) * SIN(RADIANS($F$1)) + (B22 - 0) * COS(RADIANS($F$1))) * $E$1 + ($G$1 * TAN(RADIANS($I$1))) + $L$1</f>
        <v>34.1566819644336</v>
      </c>
      <c r="E22" s="6" t="n">
        <f aca="false">(( -A22 ) * COS(RADIANS($F$1)) - (B22 - 0) * SIN(RADIANS($F$1))) * $E$1 - ($G$1 * TAN(RADIANS($H$1))) - $J$1</f>
        <v>-886.372280716733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$G$1</f>
        <v>0</v>
      </c>
      <c r="D23" s="6" t="n">
        <f aca="false">(( -A23 ) * SIN(RADIANS($F$1)) + (B23 - 0) * COS(RADIANS($F$1))) * $E$1 + ($G$1 * TAN(RADIANS($I$1))) + $L$1</f>
        <v>34.4058068708922</v>
      </c>
      <c r="E23" s="6" t="n">
        <f aca="false">(( -A23 ) * COS(RADIANS($F$1)) - (B23 - 0) * SIN(RADIANS($F$1))) * $E$1 - ($G$1 * TAN(RADIANS($H$1))) - $J$1</f>
        <v>-883.038225366446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$G$1</f>
        <v>0</v>
      </c>
      <c r="D24" s="6" t="n">
        <f aca="false">(( -A24 ) * SIN(RADIANS($F$1)) + (B24 - 0) * COS(RADIANS($F$1))) * $E$1 + ($G$1 * TAN(RADIANS($I$1))) + $L$1</f>
        <v>34.6543961838893</v>
      </c>
      <c r="E24" s="6" t="n">
        <f aca="false">(( -A24 ) * COS(RADIANS($F$1)) - (B24 - 0) * SIN(RADIANS($F$1))) * $E$1 - ($G$1 * TAN(RADIANS($H$1))) - $J$1</f>
        <v>-879.591410017756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$G$1</f>
        <v>0</v>
      </c>
      <c r="D25" s="6" t="n">
        <f aca="false">(( -A25 ) * SIN(RADIANS($F$1)) + (B25 - 0) * COS(RADIANS($F$1))) * $E$1 + ($G$1 * TAN(RADIANS($I$1))) + $L$1</f>
        <v>34.9006899931164</v>
      </c>
      <c r="E25" s="6" t="n">
        <f aca="false">(( -A25 ) * COS(RADIANS($F$1)) - (B25 - 0) * SIN(RADIANS($F$1))) * $E$1 - ($G$1 * TAN(RADIANS($H$1))) - $J$1</f>
        <v>-876.039890998345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$G$1</f>
        <v>0</v>
      </c>
      <c r="D26" s="6" t="n">
        <f aca="false">(( -A26 ) * SIN(RADIANS($F$1)) + (B26 - 0) * COS(RADIANS($F$1))) * $E$1 + ($G$1 * TAN(RADIANS($I$1))) + $L$1</f>
        <v>35.143613906942</v>
      </c>
      <c r="E26" s="6" t="n">
        <f aca="false">(( -A26 ) * COS(RADIANS($F$1)) - (B26 - 0) * SIN(RADIANS($F$1))) * $E$1 - ($G$1 * TAN(RADIANS($H$1))) - $J$1</f>
        <v>-872.391870800677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$G$1</f>
        <v>0</v>
      </c>
      <c r="D27" s="6" t="n">
        <f aca="false">(( -A27 ) * SIN(RADIANS($F$1)) + (B27 - 0) * COS(RADIANS($F$1))) * $E$1 + ($G$1 * TAN(RADIANS($I$1))) + $L$1</f>
        <v>35.3812559173602</v>
      </c>
      <c r="E27" s="6" t="n">
        <f aca="false">(( -A27 ) * COS(RADIANS($F$1)) - (B27 - 0) * SIN(RADIANS($F$1))) * $E$1 - ($G$1 * TAN(RADIANS($H$1))) - $J$1</f>
        <v>-868.65592137467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$G$1</f>
        <v>0</v>
      </c>
      <c r="D28" s="6" t="n">
        <f aca="false">(( -A28 ) * SIN(RADIANS($F$1)) + (B28 - 0) * COS(RADIANS($F$1))) * $E$1 + ($G$1 * TAN(RADIANS($I$1))) + $L$1</f>
        <v>35.6122315044305</v>
      </c>
      <c r="E28" s="6" t="n">
        <f aca="false">(( -A28 ) * COS(RADIANS($F$1)) - (B28 - 0) * SIN(RADIANS($F$1))) * $E$1 - ($G$1 * TAN(RADIANS($H$1))) - $J$1</f>
        <v>-864.841106560819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$G$1</f>
        <v>0</v>
      </c>
      <c r="D29" s="6" t="n">
        <f aca="false">(( -A29 ) * SIN(RADIANS($F$1)) + (B29 - 0) * COS(RADIANS($F$1))) * $E$1 + ($G$1 * TAN(RADIANS($I$1))) + $L$1</f>
        <v>35.8347985565876</v>
      </c>
      <c r="E29" s="6" t="n">
        <f aca="false">(( -A29 ) * COS(RADIANS($F$1)) - (B29 - 0) * SIN(RADIANS($F$1))) * $E$1 - ($G$1 * TAN(RADIANS($H$1))) - $J$1</f>
        <v>-860.955992376127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$G$1</f>
        <v>0</v>
      </c>
      <c r="D30" s="6" t="n">
        <f aca="false">(( -A30 ) * SIN(RADIANS($F$1)) + (B30 - 0) * COS(RADIANS($F$1))) * $E$1 + ($G$1 * TAN(RADIANS($I$1))) + $L$1</f>
        <v>36.0475784868054</v>
      </c>
      <c r="E30" s="6" t="n">
        <f aca="false">(( -A30 ) * COS(RADIANS($F$1)) - (B30 - 0) * SIN(RADIANS($F$1))) * $E$1 - ($G$1 * TAN(RADIANS($H$1))) - $J$1</f>
        <v>-857.009812557531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$G$1</f>
        <v>0</v>
      </c>
      <c r="D31" s="6" t="n">
        <f aca="false">(( -A31 ) * SIN(RADIANS($F$1)) + (B31 - 0) * COS(RADIANS($F$1))) * $E$1 + ($G$1 * TAN(RADIANS($I$1))) + $L$1</f>
        <v>36.2485131222953</v>
      </c>
      <c r="E31" s="6" t="n">
        <f aca="false">(( -A31 ) * COS(RADIANS($F$1)) - (B31 - 0) * SIN(RADIANS($F$1))) * $E$1 - ($G$1 * TAN(RADIANS($H$1))) - $J$1</f>
        <v>-853.011824573624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$G$1</f>
        <v>0</v>
      </c>
      <c r="D32" s="6" t="n">
        <f aca="false">(( -A32 ) * SIN(RADIANS($F$1)) + (B32 - 0) * COS(RADIANS($F$1))) * $E$1 + ($G$1 * TAN(RADIANS($I$1))) + $L$1</f>
        <v>36.4360658454193</v>
      </c>
      <c r="E32" s="6" t="n">
        <f aca="false">(( -A32 ) * COS(RADIANS($F$1)) - (B32 - 0) * SIN(RADIANS($F$1))) * $E$1 - ($G$1 * TAN(RADIANS($H$1))) - $J$1</f>
        <v>-848.97160788714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$G$1</f>
        <v>0</v>
      </c>
      <c r="D33" s="6" t="n">
        <f aca="false">(( -A33 ) * SIN(RADIANS($F$1)) + (B33 - 0) * COS(RADIANS($F$1))) * $E$1 + ($G$1 * TAN(RADIANS($I$1))) + $L$1</f>
        <v>36.6085123433557</v>
      </c>
      <c r="E33" s="6" t="n">
        <f aca="false">(( -A33 ) * COS(RADIANS($F$1)) - (B33 - 0) * SIN(RADIANS($F$1))) * $E$1 - ($G$1 * TAN(RADIANS($H$1))) - $J$1</f>
        <v>-844.898238204402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$G$1</f>
        <v>0</v>
      </c>
      <c r="D34" s="6" t="n">
        <f aca="false">(( -A34 ) * SIN(RADIANS($F$1)) + (B34 - 0) * COS(RADIANS($F$1))) * $E$1 + ($G$1 * TAN(RADIANS($I$1))) + $L$1</f>
        <v>36.7638181749737</v>
      </c>
      <c r="E34" s="6" t="n">
        <f aca="false">(( -A34 ) * COS(RADIANS($F$1)) - (B34 - 0) * SIN(RADIANS($F$1))) * $E$1 - ($G$1 * TAN(RADIANS($H$1))) - $J$1</f>
        <v>-840.801652579767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$G$1</f>
        <v>0</v>
      </c>
      <c r="D35" s="6" t="n">
        <f aca="false">(( -A35 ) * SIN(RADIANS($F$1)) + (B35 - 0) * COS(RADIANS($F$1))) * $E$1 + ($G$1 * TAN(RADIANS($I$1))) + $L$1</f>
        <v>36.9002768261946</v>
      </c>
      <c r="E35" s="6" t="n">
        <f aca="false">(( -A35 ) * COS(RADIANS($F$1)) - (B35 - 0) * SIN(RADIANS($F$1))) * $E$1 - ($G$1 * TAN(RADIANS($H$1))) - $J$1</f>
        <v>-836.691436408882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$G$1</f>
        <v>0</v>
      </c>
      <c r="D36" s="6" t="n">
        <f aca="false">(( -A36 ) * SIN(RADIANS($F$1)) + (B36 - 0) * COS(RADIANS($F$1))) * $E$1 + ($G$1 * TAN(RADIANS($I$1))) + $L$1</f>
        <v>37.0160059535851</v>
      </c>
      <c r="E36" s="6" t="n">
        <f aca="false">(( -A36 ) * COS(RADIANS($F$1)) - (B36 - 0) * SIN(RADIANS($F$1))) * $E$1 - ($G$1 * TAN(RADIANS($H$1))) - $J$1</f>
        <v>-832.577011123866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$G$1</f>
        <v>0</v>
      </c>
      <c r="D37" s="6" t="n">
        <f aca="false">(( -A37 ) * SIN(RADIANS($F$1)) + (B37 - 0) * COS(RADIANS($F$1))) * $E$1 + ($G$1 * TAN(RADIANS($I$1))) + $L$1</f>
        <v>37.1089711160141</v>
      </c>
      <c r="E37" s="6" t="n">
        <f aca="false">(( -A37 ) * COS(RADIANS($F$1)) - (B37 - 0) * SIN(RADIANS($F$1))) * $E$1 - ($G$1 * TAN(RADIANS($H$1))) - $J$1</f>
        <v>-828.468313779077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$G$1</f>
        <v>0</v>
      </c>
      <c r="D38" s="6" t="n">
        <f aca="false">(( -A38 ) * SIN(RADIANS($F$1)) + (B38 - 0) * COS(RADIANS($F$1))) * $E$1 + ($G$1 * TAN(RADIANS($I$1))) + $L$1</f>
        <v>37.1774598664889</v>
      </c>
      <c r="E38" s="6" t="n">
        <f aca="false">(( -A38 ) * COS(RADIANS($F$1)) - (B38 - 0) * SIN(RADIANS($F$1))) * $E$1 - ($G$1 * TAN(RADIANS($H$1))) - $J$1</f>
        <v>-824.374759873721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$G$1</f>
        <v>0</v>
      </c>
      <c r="D39" s="6" t="n">
        <f aca="false">(( -A39 ) * SIN(RADIANS($F$1)) + (B39 - 0) * COS(RADIANS($F$1))) * $E$1 + ($G$1 * TAN(RADIANS($I$1))) + $L$1</f>
        <v>37.2196017274048</v>
      </c>
      <c r="E39" s="6" t="n">
        <f aca="false">(( -A39 ) * COS(RADIANS($F$1)) - (B39 - 0) * SIN(RADIANS($F$1))) * $E$1 - ($G$1 * TAN(RADIANS($H$1))) - $J$1</f>
        <v>-820.306110632799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$G$1</f>
        <v>0</v>
      </c>
      <c r="D40" s="6" t="n">
        <f aca="false">(( -A40 ) * SIN(RADIANS($F$1)) + (B40 - 0) * COS(RADIANS($F$1))) * $E$1 + ($G$1 * TAN(RADIANS($I$1))) + $L$1</f>
        <v>37.2336842517687</v>
      </c>
      <c r="E40" s="6" t="n">
        <f aca="false">(( -A40 ) * COS(RADIANS($F$1)) - (B40 - 0) * SIN(RADIANS($F$1))) * $E$1 - ($G$1 * TAN(RADIANS($H$1))) - $J$1</f>
        <v>-816.271781555516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$G$1</f>
        <v>0</v>
      </c>
      <c r="D41" s="6" t="n">
        <f aca="false">(( -A41 ) * SIN(RADIANS($F$1)) + (B41 - 0) * COS(RADIANS($F$1))) * $E$1 + ($G$1 * TAN(RADIANS($I$1))) + $L$1</f>
        <v>37.2181708219428</v>
      </c>
      <c r="E41" s="6" t="n">
        <f aca="false">(( -A41 ) * COS(RADIANS($F$1)) - (B41 - 0) * SIN(RADIANS($F$1))) * $E$1 - ($G$1 * TAN(RADIANS($H$1))) - $J$1</f>
        <v>-812.281352104605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$G$1</f>
        <v>0</v>
      </c>
      <c r="D42" s="6" t="n">
        <f aca="false">(( -A42 ) * SIN(RADIANS($F$1)) + (B42 - 0) * COS(RADIANS($F$1))) * $E$1 + ($G$1 * TAN(RADIANS($I$1))) + $L$1</f>
        <v>37.1713549238485</v>
      </c>
      <c r="E42" s="6" t="n">
        <f aca="false">(( -A42 ) * COS(RADIANS($F$1)) - (B42 - 0) * SIN(RADIANS($F$1))) * $E$1 - ($G$1 * TAN(RADIANS($H$1))) - $J$1</f>
        <v>-808.344407675713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$G$1</f>
        <v>0</v>
      </c>
      <c r="D43" s="6" t="n">
        <f aca="false">(( -A43 ) * SIN(RADIANS($F$1)) + (B43 - 0) * COS(RADIANS($F$1))) * $E$1 + ($G$1 * TAN(RADIANS($I$1))) + $L$1</f>
        <v>37.0918461046309</v>
      </c>
      <c r="E43" s="6" t="n">
        <f aca="false">(( -A43 ) * COS(RADIANS($F$1)) - (B43 - 0) * SIN(RADIANS($F$1))) * $E$1 - ($G$1 * TAN(RADIANS($H$1))) - $J$1</f>
        <v>-804.469842212895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$G$1</f>
        <v>0</v>
      </c>
      <c r="D44" s="6" t="n">
        <f aca="false">(( -A44 ) * SIN(RADIANS($F$1)) + (B44 - 0) * COS(RADIANS($F$1))) * $E$1 + ($G$1 * TAN(RADIANS($I$1))) + $L$1</f>
        <v>36.9784356737042</v>
      </c>
      <c r="E44" s="6" t="n">
        <f aca="false">(( -A44 ) * COS(RADIANS($F$1)) - (B44 - 0) * SIN(RADIANS($F$1))) * $E$1 - ($G$1 * TAN(RADIANS($H$1))) - $J$1</f>
        <v>-800.666883520172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$G$1</f>
        <v>0</v>
      </c>
      <c r="D45" s="6" t="n">
        <f aca="false">(( -A45 ) * SIN(RADIANS($F$1)) + (B45 - 0) * COS(RADIANS($F$1))) * $E$1 + ($G$1 * TAN(RADIANS($I$1))) + $L$1</f>
        <v>36.8302428675351</v>
      </c>
      <c r="E45" s="6" t="n">
        <f aca="false">(( -A45 ) * COS(RADIANS($F$1)) - (B45 - 0) * SIN(RADIANS($F$1))) * $E$1 - ($G$1 * TAN(RADIANS($H$1))) - $J$1</f>
        <v>-796.944407742856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$G$1</f>
        <v>0</v>
      </c>
      <c r="D46" s="6" t="n">
        <f aca="false">(( -A46 ) * SIN(RADIANS($F$1)) + (B46 - 0) * COS(RADIANS($F$1))) * $E$1 + ($G$1 * TAN(RADIANS($I$1))) + $L$1</f>
        <v>36.646556819031</v>
      </c>
      <c r="E46" s="6" t="n">
        <f aca="false">(( -A46 ) * COS(RADIANS($F$1)) - (B46 - 0) * SIN(RADIANS($F$1))) * $E$1 - ($G$1 * TAN(RADIANS($H$1))) - $J$1</f>
        <v>-793.311285093346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$G$1</f>
        <v>0</v>
      </c>
      <c r="D47" s="6" t="n">
        <f aca="false">(( -A47 ) * SIN(RADIANS($F$1)) + (B47 - 0) * COS(RADIANS($F$1))) * $E$1 + ($G$1 * TAN(RADIANS($I$1))) + $L$1</f>
        <v>36.4264848988297</v>
      </c>
      <c r="E47" s="6" t="n">
        <f aca="false">(( -A47 ) * COS(RADIANS($F$1)) - (B47 - 0) * SIN(RADIANS($F$1))) * $E$1 - ($G$1 * TAN(RADIANS($H$1))) - $J$1</f>
        <v>-789.776051924071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$G$1</f>
        <v>0</v>
      </c>
      <c r="D48" s="6" t="n">
        <f aca="false">(( -A48 ) * SIN(RADIANS($F$1)) + (B48 - 0) * COS(RADIANS($F$1))) * $E$1 + ($G$1 * TAN(RADIANS($I$1))) + $L$1</f>
        <v>36.1701419903837</v>
      </c>
      <c r="E48" s="6" t="n">
        <f aca="false">(( -A48 ) * COS(RADIANS($F$1)) - (B48 - 0) * SIN(RADIANS($F$1))) * $E$1 - ($G$1 * TAN(RADIANS($H$1))) - $J$1</f>
        <v>-786.346869197095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$G$1</f>
        <v>0</v>
      </c>
      <c r="D49" s="6" t="n">
        <f aca="false">(( -A49 ) * SIN(RADIANS($F$1)) + (B49 - 0) * COS(RADIANS($F$1))) * $E$1 + ($G$1 * TAN(RADIANS($I$1))) + $L$1</f>
        <v>35.8772972513498</v>
      </c>
      <c r="E49" s="6" t="n">
        <f aca="false">(( -A49 ) * COS(RADIANS($F$1)) - (B49 - 0) * SIN(RADIANS($F$1))) * $E$1 - ($G$1 * TAN(RADIANS($H$1))) - $J$1</f>
        <v>-783.03173984387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$G$1</f>
        <v>0</v>
      </c>
      <c r="D50" s="6" t="n">
        <f aca="false">(( -A50 ) * SIN(RADIANS($F$1)) + (B50 - 0) * COS(RADIANS($F$1))) * $E$1 + ($G$1 * TAN(RADIANS($I$1))) + $L$1</f>
        <v>35.5483934922329</v>
      </c>
      <c r="E50" s="6" t="n">
        <f aca="false">(( -A50 ) * COS(RADIANS($F$1)) - (B50 - 0) * SIN(RADIANS($F$1))) * $E$1 - ($G$1 * TAN(RADIANS($H$1))) - $J$1</f>
        <v>-779.838473167746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$G$1</f>
        <v>0</v>
      </c>
      <c r="D51" s="6" t="n">
        <f aca="false">(( -A51 ) * SIN(RADIANS($F$1)) + (B51 - 0) * COS(RADIANS($F$1))) * $E$1 + ($G$1 * TAN(RADIANS($I$1))) + $L$1</f>
        <v>35.1838616577088</v>
      </c>
      <c r="E51" s="6" t="n">
        <f aca="false">(( -A51 ) * COS(RADIANS($F$1)) - (B51 - 0) * SIN(RADIANS($F$1))) * $E$1 - ($G$1 * TAN(RADIANS($H$1))) - $J$1</f>
        <v>-776.774538679198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$G$1</f>
        <v>0</v>
      </c>
      <c r="D52" s="6" t="n">
        <f aca="false">(( -A52 ) * SIN(RADIANS($F$1)) + (B52 - 0) * COS(RADIANS($F$1))) * $E$1 + ($G$1 * TAN(RADIANS($I$1))) + $L$1</f>
        <v>34.7844665524203</v>
      </c>
      <c r="E52" s="6" t="n">
        <f aca="false">(( -A52 ) * COS(RADIANS($F$1)) - (B52 - 0) * SIN(RADIANS($F$1))) * $E$1 - ($G$1 * TAN(RADIANS($H$1))) - $J$1</f>
        <v>-773.847224126425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$G$1</f>
        <v>0</v>
      </c>
      <c r="D53" s="6" t="n">
        <f aca="false">(( -A53 ) * SIN(RADIANS($F$1)) + (B53 - 0) * COS(RADIANS($F$1))) * $E$1 + ($G$1 * TAN(RADIANS($I$1))) + $L$1</f>
        <v>34.351458938674</v>
      </c>
      <c r="E53" s="6" t="n">
        <f aca="false">(( -A53 ) * COS(RADIANS($F$1)) - (B53 - 0) * SIN(RADIANS($F$1))) * $E$1 - ($G$1 * TAN(RADIANS($H$1))) - $J$1</f>
        <v>-771.063119873126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$G$1</f>
        <v>0</v>
      </c>
      <c r="D54" s="6" t="n">
        <f aca="false">(( -A54 ) * SIN(RADIANS($F$1)) + (B54 - 0) * COS(RADIANS($F$1))) * $E$1 + ($G$1 * TAN(RADIANS($I$1))) + $L$1</f>
        <v>33.8862594752173</v>
      </c>
      <c r="E54" s="6" t="n">
        <f aca="false">(( -A54 ) * COS(RADIANS($F$1)) - (B54 - 0) * SIN(RADIANS($F$1))) * $E$1 - ($G$1 * TAN(RADIANS($H$1))) - $J$1</f>
        <v>-768.428810350083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$G$1</f>
        <v>0</v>
      </c>
      <c r="D55" s="6" t="n">
        <f aca="false">(( -A55 ) * SIN(RADIANS($F$1)) + (B55 - 0) * COS(RADIANS($F$1))) * $E$1 + ($G$1 * TAN(RADIANS($I$1))) + $L$1</f>
        <v>33.390107058528</v>
      </c>
      <c r="E55" s="6" t="n">
        <f aca="false">(( -A55 ) * COS(RADIANS($F$1)) - (B55 - 0) * SIN(RADIANS($F$1))) * $E$1 - ($G$1 * TAN(RADIANS($H$1))) - $J$1</f>
        <v>-765.950546128109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$G$1</f>
        <v>0</v>
      </c>
      <c r="D56" s="6" t="n">
        <f aca="false">(( -A56 ) * SIN(RADIANS($F$1)) + (B56 - 0) * COS(RADIANS($F$1))) * $E$1 + ($G$1 * TAN(RADIANS($I$1))) + $L$1</f>
        <v>32.8648964391884</v>
      </c>
      <c r="E56" s="6" t="n">
        <f aca="false">(( -A56 ) * COS(RADIANS($F$1)) - (B56 - 0) * SIN(RADIANS($F$1))) * $E$1 - ($G$1 * TAN(RADIANS($H$1))) - $J$1</f>
        <v>-763.633874460601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$G$1</f>
        <v>0</v>
      </c>
      <c r="D57" s="6" t="n">
        <f aca="false">(( -A57 ) * SIN(RADIANS($F$1)) + (B57 - 0) * COS(RADIANS($F$1))) * $E$1 + ($G$1 * TAN(RADIANS($I$1))) + $L$1</f>
        <v>32.3125223677811</v>
      </c>
      <c r="E57" s="6" t="n">
        <f aca="false">(( -A57 ) * COS(RADIANS($F$1)) - (B57 - 0) * SIN(RADIANS($F$1))) * $E$1 - ($G$1 * TAN(RADIANS($H$1))) - $J$1</f>
        <v>-761.484342600955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$G$1</f>
        <v>0</v>
      </c>
      <c r="D58" s="6" t="n">
        <f aca="false">(( -A58 ) * SIN(RADIANS($F$1)) + (B58 - 0) * COS(RADIANS($F$1))) * $E$1 + ($G$1 * TAN(RADIANS($I$1))) + $L$1</f>
        <v>31.7348617961451</v>
      </c>
      <c r="E58" s="6" t="n">
        <f aca="false">(( -A58 ) * COS(RADIANS($F$1)) - (B58 - 0) * SIN(RADIANS($F$1))) * $E$1 - ($G$1 * TAN(RADIANS($H$1))) - $J$1</f>
        <v>-759.506988113242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$G$1</f>
        <v>0</v>
      </c>
      <c r="D59" s="6" t="n">
        <f aca="false">(( -A59 ) * SIN(RADIANS($F$1)) + (B59 - 0) * COS(RADIANS($F$1))) * $E$1 + ($G$1 * TAN(RADIANS($I$1))) + $L$1</f>
        <v>31.1341136702575</v>
      </c>
      <c r="E59" s="6" t="n">
        <f aca="false">(( -A59 ) * COS(RADIANS($F$1)) - (B59 - 0) * SIN(RADIANS($F$1))) * $E$1 - ($G$1 * TAN(RADIANS($H$1))) - $J$1</f>
        <v>-757.706327006386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$G$1</f>
        <v>0</v>
      </c>
      <c r="D60" s="6" t="n">
        <f aca="false">(( -A60 ) * SIN(RADIANS($F$1)) + (B60 - 0) * COS(RADIANS($F$1))) * $E$1 + ($G$1 * TAN(RADIANS($I$1))) + $L$1</f>
        <v>30.5122951738257</v>
      </c>
      <c r="E60" s="6" t="n">
        <f aca="false">(( -A60 ) * COS(RADIANS($F$1)) - (B60 - 0) * SIN(RADIANS($F$1))) * $E$1 - ($G$1 * TAN(RADIANS($H$1))) - $J$1</f>
        <v>-756.086541429344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$G$1</f>
        <v>0</v>
      </c>
      <c r="D61" s="6" t="n">
        <f aca="false">(( -A61 ) * SIN(RADIANS($F$1)) + (B61 - 0) * COS(RADIANS($F$1))) * $E$1 + ($G$1 * TAN(RADIANS($I$1))) + $L$1</f>
        <v>29.8714056918139</v>
      </c>
      <c r="E61" s="6" t="n">
        <f aca="false">(( -A61 ) * COS(RADIANS($F$1)) - (B61 - 0) * SIN(RADIANS($F$1))) * $E$1 - ($G$1 * TAN(RADIANS($H$1))) - $J$1</f>
        <v>-754.651303841748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$G$1</f>
        <v>0</v>
      </c>
      <c r="D62" s="6" t="n">
        <f aca="false">(( -A62 ) * SIN(RADIANS($F$1)) + (B62 - 0) * COS(RADIANS($F$1))) * $E$1 + ($G$1 * TAN(RADIANS($I$1))) + $L$1</f>
        <v>29.2134386762719</v>
      </c>
      <c r="E62" s="6" t="n">
        <f aca="false">(( -A62 ) * COS(RADIANS($F$1)) - (B62 - 0) * SIN(RADIANS($F$1))) * $E$1 - ($G$1 * TAN(RADIANS($H$1))) - $J$1</f>
        <v>-753.404116806794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$G$1</f>
        <v>0</v>
      </c>
      <c r="D63" s="6" t="n">
        <f aca="false">(( -A63 ) * SIN(RADIANS($F$1)) + (B63 - 0) * COS(RADIANS($F$1))) * $E$1 + ($G$1 * TAN(RADIANS($I$1))) + $L$1</f>
        <v>28.5401939511511</v>
      </c>
      <c r="E63" s="6" t="n">
        <f aca="false">(( -A63 ) * COS(RADIANS($F$1)) - (B63 - 0) * SIN(RADIANS($F$1))) * $E$1 - ($G$1 * TAN(RADIANS($H$1))) - $J$1</f>
        <v>-752.347809234826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$G$1</f>
        <v>0</v>
      </c>
      <c r="D64" s="6" t="n">
        <f aca="false">(( -A64 ) * SIN(RADIANS($F$1)) + (B64 - 0) * COS(RADIANS($F$1))) * $E$1 + ($G$1 * TAN(RADIANS($I$1))) + $L$1</f>
        <v>27.8536293710146</v>
      </c>
      <c r="E64" s="6" t="n">
        <f aca="false">(( -A64 ) * COS(RADIANS($F$1)) - (B64 - 0) * SIN(RADIANS($F$1))) * $E$1 - ($G$1 * TAN(RADIANS($H$1))) - $J$1</f>
        <v>-751.484864310394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$G$1</f>
        <v>0</v>
      </c>
      <c r="D65" s="6" t="n">
        <f aca="false">(( -A65 ) * SIN(RADIANS($F$1)) + (B65 - 0) * COS(RADIANS($F$1))) * $E$1 + ($G$1 * TAN(RADIANS($I$1))) + $L$1</f>
        <v>27.1550054059198</v>
      </c>
      <c r="E65" s="6" t="n">
        <f aca="false">(( -A65 ) * COS(RADIANS($F$1)) - (B65 - 0) * SIN(RADIANS($F$1))) * $E$1 - ($G$1 * TAN(RADIANS($H$1))) - $J$1</f>
        <v>-750.817279260386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$G$1</f>
        <v>0</v>
      </c>
      <c r="D66" s="6" t="n">
        <f aca="false">(( -A66 ) * SIN(RADIANS($F$1)) + (B66 - 0) * COS(RADIANS($F$1))) * $E$1 + ($G$1 * TAN(RADIANS($I$1))) + $L$1</f>
        <v>26.4459045200621</v>
      </c>
      <c r="E66" s="6" t="n">
        <f aca="false">(( -A66 ) * COS(RADIANS($F$1)) - (B66 - 0) * SIN(RADIANS($F$1))) * $E$1 - ($G$1 * TAN(RADIANS($H$1))) - $J$1</f>
        <v>-750.346529756535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$G$1</f>
        <v>0</v>
      </c>
      <c r="D67" s="6" t="n">
        <f aca="false">(( -A67 ) * SIN(RADIANS($F$1)) + (B67 - 0) * COS(RADIANS($F$1))) * $E$1 + ($G$1 * TAN(RADIANS($I$1))) + $L$1</f>
        <v>25.7272236589599</v>
      </c>
      <c r="E67" s="6" t="n">
        <f aca="false">(( -A67 ) * COS(RADIANS($F$1)) - (B67 - 0) * SIN(RADIANS($F$1))) * $E$1 - ($G$1 * TAN(RADIANS($H$1))) - $J$1</f>
        <v>-750.073945305795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$G$1</f>
        <v>0</v>
      </c>
      <c r="D68" s="6" t="n">
        <f aca="false">(( -A68 ) * SIN(RADIANS($F$1)) + (B68 - 0) * COS(RADIANS($F$1))) * $E$1 + ($G$1 * TAN(RADIANS($I$1))) + $L$1</f>
        <v>25</v>
      </c>
      <c r="E68" s="6" t="n">
        <f aca="false">(( -A68 ) * COS(RADIANS($F$1)) - (B68 - 0) * SIN(RADIANS($F$1))) * $E$1 - ($G$1 * TAN(RADIANS($H$1))) - $J$1</f>
        <v>-750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$G$1</f>
        <v>0</v>
      </c>
      <c r="D69" s="6" t="n">
        <f aca="false">(( -A69 ) * SIN(RADIANS($F$1)) + (B69 - 0) * COS(RADIANS($F$1))) * $E$1 + ($G$1 * TAN(RADIANS($I$1))) + $L$1</f>
        <v>24.2797059851054</v>
      </c>
      <c r="E69" s="6" t="n">
        <f aca="false">(( -A69 ) * COS(RADIANS($F$1)) - (B69 - 0) * SIN(RADIANS($F$1))) * $E$1 - ($G$1 * TAN(RADIANS($H$1))) - $J$1</f>
        <v>-750.124493736818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$G$1</f>
        <v>0</v>
      </c>
      <c r="D70" s="6" t="n">
        <f aca="false">(( -A70 ) * SIN(RADIANS($F$1)) + (B70 - 0) * COS(RADIANS($F$1))) * $E$1 + ($G$1 * TAN(RADIANS($I$1))) + $L$1</f>
        <v>23.5817903245411</v>
      </c>
      <c r="E70" s="6" t="n">
        <f aca="false">(( -A70 ) * COS(RADIANS($F$1)) - (B70 - 0) * SIN(RADIANS($F$1))) * $E$1 - ($G$1 * TAN(RADIANS($H$1))) - $J$1</f>
        <v>-750.446546828155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$G$1</f>
        <v>0</v>
      </c>
      <c r="D71" s="6" t="n">
        <f aca="false">(( -A71 ) * SIN(RADIANS($F$1)) + (B71 - 0) * COS(RADIANS($F$1))) * $E$1 + ($G$1 * TAN(RADIANS($I$1))) + $L$1</f>
        <v>22.9072545982075</v>
      </c>
      <c r="E71" s="6" t="n">
        <f aca="false">(( -A71 ) * COS(RADIANS($F$1)) - (B71 - 0) * SIN(RADIANS($F$1))) * $E$1 - ($G$1 * TAN(RADIANS($H$1))) - $J$1</f>
        <v>-750.9656139872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$G$1</f>
        <v>0</v>
      </c>
      <c r="D72" s="6" t="n">
        <f aca="false">(( -A72 ) * SIN(RADIANS($F$1)) + (B72 - 0) * COS(RADIANS($F$1))) * $E$1 + ($G$1 * TAN(RADIANS($I$1))) + $L$1</f>
        <v>22.2569008249919</v>
      </c>
      <c r="E72" s="6" t="n">
        <f aca="false">(( -A72 ) * COS(RADIANS($F$1)) - (B72 - 0) * SIN(RADIANS($F$1))) * $E$1 - ($G$1 * TAN(RADIANS($H$1))) - $J$1</f>
        <v>-751.680306377858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$G$1</f>
        <v>0</v>
      </c>
      <c r="D73" s="6" t="n">
        <f aca="false">(( -A73 ) * SIN(RADIANS($F$1)) + (B73 - 0) * COS(RADIANS($F$1))) * $E$1 + ($G$1 * TAN(RADIANS($I$1))) + $L$1</f>
        <v>21.6322046766297</v>
      </c>
      <c r="E73" s="6" t="n">
        <f aca="false">(( -A73 ) * COS(RADIANS($F$1)) - (B73 - 0) * SIN(RADIANS($F$1))) * $E$1 - ($G$1 * TAN(RADIANS($H$1))) - $J$1</f>
        <v>-752.589041535933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$G$1</f>
        <v>0</v>
      </c>
      <c r="D74" s="6" t="n">
        <f aca="false">(( -A74 ) * SIN(RADIANS($F$1)) + (B74 - 0) * COS(RADIANS($F$1))) * $E$1 + ($G$1 * TAN(RADIANS($I$1))) + $L$1</f>
        <v>21.0342842332318</v>
      </c>
      <c r="E74" s="6" t="n">
        <f aca="false">(( -A74 ) * COS(RADIANS($F$1)) - (B74 - 0) * SIN(RADIANS($F$1))) * $E$1 - ($G$1 * TAN(RADIANS($H$1))) - $J$1</f>
        <v>-753.689739173737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$G$1</f>
        <v>0</v>
      </c>
      <c r="D75" s="6" t="n">
        <f aca="false">(( -A75 ) * SIN(RADIANS($F$1)) + (B75 - 0) * COS(RADIANS($F$1))) * $E$1 + ($G$1 * TAN(RADIANS($I$1))) + $L$1</f>
        <v>20.4649193619282</v>
      </c>
      <c r="E75" s="6" t="n">
        <f aca="false">(( -A75 ) * COS(RADIANS($F$1)) - (B75 - 0) * SIN(RADIANS($F$1))) * $E$1 - ($G$1 * TAN(RADIANS($H$1))) - $J$1</f>
        <v>-754.979785582602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$G$1</f>
        <v>0</v>
      </c>
      <c r="D76" s="6" t="n">
        <f aca="false">(( -A76 ) * SIN(RADIANS($F$1)) + (B76 - 0) * COS(RADIANS($F$1))) * $E$1 + ($G$1 * TAN(RADIANS($I$1))) + $L$1</f>
        <v>19.9257081675793</v>
      </c>
      <c r="E76" s="6" t="n">
        <f aca="false">(( -A76 ) * COS(RADIANS($F$1)) - (B76 - 0) * SIN(RADIANS($F$1))) * $E$1 - ($G$1 * TAN(RADIANS($H$1))) - $J$1</f>
        <v>-756.456233193893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$G$1</f>
        <v>0</v>
      </c>
      <c r="D77" s="6" t="n">
        <f aca="false">(( -A77 ) * SIN(RADIANS($F$1)) + (B77 - 0) * COS(RADIANS($F$1))) * $E$1 + ($G$1 * TAN(RADIANS($I$1))) + $L$1</f>
        <v>19.4183949198284</v>
      </c>
      <c r="E77" s="6" t="n">
        <f aca="false">(( -A77 ) * COS(RADIANS($F$1)) - (B77 - 0) * SIN(RADIANS($F$1))) * $E$1 - ($G$1 * TAN(RADIANS($H$1))) - $J$1</f>
        <v>-758.1154489203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$G$1</f>
        <v>0</v>
      </c>
      <c r="D78" s="6" t="n">
        <f aca="false">(( -A78 ) * SIN(RADIANS($F$1)) + (B78 - 0) * COS(RADIANS($F$1))) * $E$1 + ($G$1 * TAN(RADIANS($I$1))) + $L$1</f>
        <v>18.9447179554044</v>
      </c>
      <c r="E78" s="6" t="n">
        <f aca="false">(( -A78 ) * COS(RADIANS($F$1)) - (B78 - 0) * SIN(RADIANS($F$1))) * $E$1 - ($G$1 * TAN(RADIANS($H$1))) - $J$1</f>
        <v>-759.953629778071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$G$1</f>
        <v>0</v>
      </c>
      <c r="D79" s="6" t="n">
        <f aca="false">(( -A79 ) * SIN(RADIANS($F$1)) + (B79 - 0) * COS(RADIANS($F$1))) * $E$1 + ($G$1 * TAN(RADIANS($I$1))) + $L$1</f>
        <v>18.5063978122927</v>
      </c>
      <c r="E79" s="6" t="n">
        <f aca="false">(( -A79 ) * COS(RADIANS($F$1)) - (B79 - 0) * SIN(RADIANS($F$1))) * $E$1 - ($G$1 * TAN(RADIANS($H$1))) - $J$1</f>
        <v>-761.966463094131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$G$1</f>
        <v>0</v>
      </c>
      <c r="D80" s="6" t="n">
        <f aca="false">(( -A80 ) * SIN(RADIANS($F$1)) + (B80 - 0) * COS(RADIANS($F$1))) * $E$1 + ($G$1 * TAN(RADIANS($I$1))) + $L$1</f>
        <v>18.1053130590908</v>
      </c>
      <c r="E80" s="6" t="n">
        <f aca="false">(( -A80 ) * COS(RADIANS($F$1)) - (B80 - 0) * SIN(RADIANS($F$1))) * $E$1 - ($G$1 * TAN(RADIANS($H$1))) - $J$1</f>
        <v>-764.149290469612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$G$1</f>
        <v>0</v>
      </c>
      <c r="D81" s="6" t="n">
        <f aca="false">(( -A81 ) * SIN(RADIANS($F$1)) + (B81 - 0) * COS(RADIANS($F$1))) * $E$1 + ($G$1 * TAN(RADIANS($I$1))) + $L$1</f>
        <v>17.7429846727712</v>
      </c>
      <c r="E81" s="6" t="n">
        <f aca="false">(( -A81 ) * COS(RADIANS($F$1)) - (B81 - 0) * SIN(RADIANS($F$1))) * $E$1 - ($G$1 * TAN(RADIANS($H$1))) - $J$1</f>
        <v>-766.496955682151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$G$1</f>
        <v>0</v>
      </c>
      <c r="D82" s="6" t="n">
        <f aca="false">(( -A82 ) * SIN(RADIANS($F$1)) + (B82 - 0) * COS(RADIANS($F$1))) * $E$1 + ($G$1 * TAN(RADIANS($I$1))) + $L$1</f>
        <v>17.4209158315635</v>
      </c>
      <c r="E82" s="6" t="n">
        <f aca="false">(( -A82 ) * COS(RADIANS($F$1)) - (B82 - 0) * SIN(RADIANS($F$1))) * $E$1 - ($G$1 * TAN(RADIANS($H$1))) - $J$1</f>
        <v>-769.003792820065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$G$1</f>
        <v>0</v>
      </c>
      <c r="D83" s="6" t="n">
        <f aca="false">(( -A83 ) * SIN(RADIANS($F$1)) + (B83 - 0) * COS(RADIANS($F$1))) * $E$1 + ($G$1 * TAN(RADIANS($I$1))) + $L$1</f>
        <v>17.140609713697</v>
      </c>
      <c r="E83" s="6" t="n">
        <f aca="false">(( -A83 ) * COS(RADIANS($F$1)) - (B83 - 0) * SIN(RADIANS($F$1))) * $E$1 - ($G$1 * TAN(RADIANS($H$1))) - $J$1</f>
        <v>-771.664135971669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$G$1</f>
        <v>0</v>
      </c>
      <c r="D84" s="6" t="n">
        <f aca="false">(( -A84 ) * SIN(RADIANS($F$1)) + (B84 - 0) * COS(RADIANS($F$1))) * $E$1 + ($G$1 * TAN(RADIANS($I$1))) + $L$1</f>
        <v>16.9028661799811</v>
      </c>
      <c r="E84" s="6" t="n">
        <f aca="false">(( -A84 ) * COS(RADIANS($F$1)) - (B84 - 0) * SIN(RADIANS($F$1))) * $E$1 - ($G$1 * TAN(RADIANS($H$1))) - $J$1</f>
        <v>-774.471663371175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$G$1</f>
        <v>0</v>
      </c>
      <c r="D85" s="6" t="n">
        <f aca="false">(( -A85 ) * SIN(RADIANS($F$1)) + (B85 - 0) * COS(RADIANS($F$1))) * $E$1 + ($G$1 * TAN(RADIANS($I$1))) + $L$1</f>
        <v>16.7086431218368</v>
      </c>
      <c r="E85" s="6" t="n">
        <f aca="false">(( -A85 ) * COS(RADIANS($F$1)) - (B85 - 0) * SIN(RADIANS($F$1))) * $E$1 - ($G$1 * TAN(RADIANS($H$1))) - $J$1</f>
        <v>-777.419707526998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$G$1</f>
        <v>0</v>
      </c>
      <c r="D86" s="6" t="n">
        <f aca="false">(( -A86 ) * SIN(RADIANS($F$1)) + (B86 - 0) * COS(RADIANS($F$1))) * $E$1 + ($G$1 * TAN(RADIANS($I$1))) + $L$1</f>
        <v>16.5587285342445</v>
      </c>
      <c r="E86" s="6" t="n">
        <f aca="false">(( -A86 ) * COS(RADIANS($F$1)) - (B86 - 0) * SIN(RADIANS($F$1))) * $E$1 - ($G$1 * TAN(RADIANS($H$1))) - $J$1</f>
        <v>-780.50160688047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$G$1</f>
        <v>0</v>
      </c>
      <c r="D87" s="6" t="n">
        <f aca="false">(( -A87 ) * SIN(RADIANS($F$1)) + (B87 - 0) * COS(RADIANS($F$1))) * $E$1 + ($G$1 * TAN(RADIANS($I$1))) + $L$1</f>
        <v>16.4533769912051</v>
      </c>
      <c r="E87" s="6" t="n">
        <f aca="false">(( -A87 ) * COS(RADIANS($F$1)) - (B87 - 0) * SIN(RADIANS($F$1))) * $E$1 - ($G$1 * TAN(RADIANS($H$1))) - $J$1</f>
        <v>-783.7100380859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$G$1</f>
        <v>0</v>
      </c>
      <c r="D88" s="6" t="n">
        <f aca="false">(( -A88 ) * SIN(RADIANS($F$1)) + (B88 - 0) * COS(RADIANS($F$1))) * $E$1 + ($G$1 * TAN(RADIANS($I$1))) + $L$1</f>
        <v>16.3924973409239</v>
      </c>
      <c r="E88" s="6" t="n">
        <f aca="false">(( -A88 ) * COS(RADIANS($F$1)) - (B88 - 0) * SIN(RADIANS($F$1))) * $E$1 - ($G$1 * TAN(RADIANS($H$1))) - $J$1</f>
        <v>-787.037519766989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$G$1</f>
        <v>0</v>
      </c>
      <c r="D89" s="6" t="n">
        <f aca="false">(( -A89 ) * SIN(RADIANS($F$1)) + (B89 - 0) * COS(RADIANS($F$1))) * $E$1 + ($G$1 * TAN(RADIANS($I$1))) + $L$1</f>
        <v>16.3759865657772</v>
      </c>
      <c r="E89" s="6" t="n">
        <f aca="false">(( -A89 ) * COS(RADIANS($F$1)) - (B89 - 0) * SIN(RADIANS($F$1))) * $E$1 - ($G$1 * TAN(RADIANS($H$1))) - $J$1</f>
        <v>-790.476230754555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$G$1</f>
        <v>0</v>
      </c>
      <c r="D90" s="6" t="n">
        <f aca="false">(( -A90 ) * SIN(RADIANS($F$1)) + (B90 - 0) * COS(RADIANS($F$1))) * $E$1 + ($G$1 * TAN(RADIANS($I$1))) + $L$1</f>
        <v>16.4030561294645</v>
      </c>
      <c r="E90" s="6" t="n">
        <f aca="false">(( -A90 ) * COS(RADIANS($F$1)) - (B90 - 0) * SIN(RADIANS($F$1))) * $E$1 - ($G$1 * TAN(RADIANS($H$1))) - $J$1</f>
        <v>-794.018203714632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$G$1</f>
        <v>0</v>
      </c>
      <c r="D91" s="6" t="n">
        <f aca="false">(( -A91 ) * SIN(RADIANS($F$1)) + (B91 - 0) * COS(RADIANS($F$1))) * $E$1 + ($G$1 * TAN(RADIANS($I$1))) + $L$1</f>
        <v>16.4732513556523</v>
      </c>
      <c r="E91" s="6" t="n">
        <f aca="false">(( -A91 ) * COS(RADIANS($F$1)) - (B91 - 0) * SIN(RADIANS($F$1))) * $E$1 - ($G$1 * TAN(RADIANS($H$1))) - $J$1</f>
        <v>-797.655289550988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$G$1</f>
        <v>0</v>
      </c>
      <c r="D92" s="6" t="n">
        <f aca="false">(( -A92 ) * SIN(RADIANS($F$1)) + (B92 - 0) * COS(RADIANS($F$1))) * $E$1 + ($G$1 * TAN(RADIANS($I$1))) + $L$1</f>
        <v>16.5850863235344</v>
      </c>
      <c r="E92" s="6" t="n">
        <f aca="false">(( -A92 ) * COS(RADIANS($F$1)) - (B92 - 0) * SIN(RADIANS($F$1))) * $E$1 - ($G$1 * TAN(RADIANS($H$1))) - $J$1</f>
        <v>-801.379034971994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$G$1</f>
        <v>0</v>
      </c>
      <c r="D93" s="6" t="n">
        <f aca="false">(( -A93 ) * SIN(RADIANS($F$1)) + (B93 - 0) * COS(RADIANS($F$1))) * $E$1 + ($G$1 * TAN(RADIANS($I$1))) + $L$1</f>
        <v>16.7372331429164</v>
      </c>
      <c r="E93" s="6" t="n">
        <f aca="false">(( -A93 ) * COS(RADIANS($F$1)) - (B93 - 0) * SIN(RADIANS($F$1))) * $E$1 - ($G$1 * TAN(RADIANS($H$1))) - $J$1</f>
        <v>-805.180640960224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$G$1</f>
        <v>0</v>
      </c>
      <c r="D94" s="6" t="n">
        <f aca="false">(( -A94 ) * SIN(RADIANS($F$1)) + (B94 - 0) * COS(RADIANS($F$1))) * $E$1 + ($G$1 * TAN(RADIANS($I$1))) + $L$1</f>
        <v>16.9281940271632</v>
      </c>
      <c r="E94" s="6" t="n">
        <f aca="false">(( -A94 ) * COS(RADIANS($F$1)) - (B94 - 0) * SIN(RADIANS($F$1))) * $E$1 - ($G$1 * TAN(RADIANS($H$1))) - $J$1</f>
        <v>-809.051314431171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$G$1</f>
        <v>0</v>
      </c>
      <c r="D95" s="6" t="n">
        <f aca="false">(( -A95 ) * SIN(RADIANS($F$1)) + (B95 - 0) * COS(RADIANS($F$1))) * $E$1 + ($G$1 * TAN(RADIANS($I$1))) + $L$1</f>
        <v>17.1561195309299</v>
      </c>
      <c r="E95" s="6" t="n">
        <f aca="false">(( -A95 ) * COS(RADIANS($F$1)) - (B95 - 0) * SIN(RADIANS($F$1))) * $E$1 - ($G$1 * TAN(RADIANS($H$1))) - $J$1</f>
        <v>-812.98193437327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$G$1</f>
        <v>0</v>
      </c>
      <c r="D96" s="6" t="n">
        <f aca="false">(( -A96 ) * SIN(RADIANS($F$1)) + (B96 - 0) * COS(RADIANS($F$1))) * $E$1 + ($G$1 * TAN(RADIANS($I$1))) + $L$1</f>
        <v>17.4190021782596</v>
      </c>
      <c r="E96" s="6" t="n">
        <f aca="false">(( -A96 ) * COS(RADIANS($F$1)) - (B96 - 0) * SIN(RADIANS($F$1))) * $E$1 - ($G$1 * TAN(RADIANS($H$1))) - $J$1</f>
        <v>-816.963725500757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$G$1</f>
        <v>0</v>
      </c>
      <c r="D97" s="6" t="n">
        <f aca="false">(( -A97 ) * SIN(RADIANS($F$1)) + (B97 - 0) * COS(RADIANS($F$1))) * $E$1 + ($G$1 * TAN(RADIANS($I$1))) + $L$1</f>
        <v>17.7144709686565</v>
      </c>
      <c r="E97" s="6" t="n">
        <f aca="false">(( -A97 ) * COS(RADIANS($F$1)) - (B97 - 0) * SIN(RADIANS($F$1))) * $E$1 - ($G$1 * TAN(RADIANS($H$1))) - $J$1</f>
        <v>-820.987244807931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$G$1</f>
        <v>0</v>
      </c>
      <c r="D98" s="6" t="n">
        <f aca="false">(( -A98 ) * SIN(RADIANS($F$1)) + (B98 - 0) * COS(RADIANS($F$1))) * $E$1 + ($G$1 * TAN(RADIANS($I$1))) + $L$1</f>
        <v>18.0403247980657</v>
      </c>
      <c r="E98" s="6" t="n">
        <f aca="false">(( -A98 ) * COS(RADIANS($F$1)) - (B98 - 0) * SIN(RADIANS($F$1))) * $E$1 - ($G$1 * TAN(RADIANS($H$1))) - $J$1</f>
        <v>-825.043043356178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$G$1</f>
        <v>0</v>
      </c>
      <c r="D99" s="6" t="n">
        <f aca="false">(( -A99 ) * SIN(RADIANS($F$1)) + (B99 - 0) * COS(RADIANS($F$1))) * $E$1 + ($G$1 * TAN(RADIANS($I$1))) + $L$1</f>
        <v>18.3941985989057</v>
      </c>
      <c r="E99" s="6" t="n">
        <f aca="false">(( -A99 ) * COS(RADIANS($F$1)) - (B99 - 0) * SIN(RADIANS($F$1))) * $E$1 - ($G$1 * TAN(RADIANS($H$1))) - $J$1</f>
        <v>-829.121848036238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$G$1</f>
        <v>0</v>
      </c>
      <c r="D100" s="6" t="n">
        <f aca="false">(( -A100 ) * SIN(RADIANS($F$1)) + (B100 - 0) * COS(RADIANS($F$1))) * $E$1 + ($G$1 * TAN(RADIANS($I$1))) + $L$1</f>
        <v>18.7735455413258</v>
      </c>
      <c r="E100" s="6" t="n">
        <f aca="false">(( -A100 ) * COS(RADIANS($F$1)) - (B100 - 0) * SIN(RADIANS($F$1))) * $E$1 - ($G$1 * TAN(RADIANS($H$1))) - $J$1</f>
        <v>-833.214051878885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$G$1</f>
        <v>0</v>
      </c>
      <c r="D101" s="6" t="n">
        <f aca="false">(( -A101 ) * SIN(RADIANS($F$1)) + (B101 - 0) * COS(RADIANS($F$1))) * $E$1 + ($G$1 * TAN(RADIANS($I$1))) + $L$1</f>
        <v>19.1760005577448</v>
      </c>
      <c r="E101" s="6" t="n">
        <f aca="false">(( -A101 ) * COS(RADIANS($F$1)) - (B101 - 0) * SIN(RADIANS($F$1))) * $E$1 - ($G$1 * TAN(RADIANS($H$1))) - $J$1</f>
        <v>-837.31038177486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$G$1</f>
        <v>0</v>
      </c>
      <c r="D102" s="6" t="n">
        <f aca="false">(( -A102 ) * SIN(RADIANS($F$1)) + (B102 - 0) * COS(RADIANS($F$1))) * $E$1 + ($G$1 * TAN(RADIANS($I$1))) + $L$1</f>
        <v>19.5988409889568</v>
      </c>
      <c r="E102" s="6" t="n">
        <f aca="false">(( -A102 ) * COS(RADIANS($F$1)) - (B102 - 0) * SIN(RADIANS($F$1))) * $E$1 - ($G$1 * TAN(RADIANS($H$1))) - $J$1</f>
        <v>-841.401066791411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$G$1</f>
        <v>0</v>
      </c>
      <c r="D103" s="6" t="n">
        <f aca="false">(( -A103 ) * SIN(RADIANS($F$1)) + (B103 - 0) * COS(RADIANS($F$1))) * $E$1 + ($G$1 * TAN(RADIANS($I$1))) + $L$1</f>
        <v>20.03953187094</v>
      </c>
      <c r="E103" s="6" t="n">
        <f aca="false">(( -A103 ) * COS(RADIANS($F$1)) - (B103 - 0) * SIN(RADIANS($F$1))) * $E$1 - ($G$1 * TAN(RADIANS($H$1))) - $J$1</f>
        <v>-845.476839752192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$G$1</f>
        <v>0</v>
      </c>
      <c r="D104" s="6" t="n">
        <f aca="false">(( -A104 ) * SIN(RADIANS($F$1)) + (B104 - 0) * COS(RADIANS($F$1))) * $E$1 + ($G$1 * TAN(RADIANS($I$1))) + $L$1</f>
        <v>20.4957022031986</v>
      </c>
      <c r="E104" s="6" t="n">
        <f aca="false">(( -A104 ) * COS(RADIANS($F$1)) - (B104 - 0) * SIN(RADIANS($F$1))) * $E$1 - ($G$1 * TAN(RADIANS($H$1))) - $J$1</f>
        <v>-849.528257651504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$G$1</f>
        <v>0</v>
      </c>
      <c r="D105" s="6" t="n">
        <f aca="false">(( -A105 ) * SIN(RADIANS($F$1)) + (B105 - 0) * COS(RADIANS($F$1))) * $E$1 + ($G$1 * TAN(RADIANS($I$1))) + $L$1</f>
        <v>20.9646293265268</v>
      </c>
      <c r="E105" s="6" t="n">
        <f aca="false">(( -A105 ) * COS(RADIANS($F$1)) - (B105 - 0) * SIN(RADIANS($F$1))) * $E$1 - ($G$1 * TAN(RADIANS($H$1))) - $J$1</f>
        <v>-853.545549556595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$G$1</f>
        <v>0</v>
      </c>
      <c r="D106" s="6" t="n">
        <f aca="false">(( -A106 ) * SIN(RADIANS($F$1)) + (B106 - 0) * COS(RADIANS($F$1))) * $E$1 + ($G$1 * TAN(RADIANS($I$1))) + $L$1</f>
        <v>21.4439600391723</v>
      </c>
      <c r="E106" s="6" t="n">
        <f aca="false">(( -A106 ) * COS(RADIANS($F$1)) - (B106 - 0) * SIN(RADIANS($F$1))) * $E$1 - ($G$1 * TAN(RADIANS($H$1))) - $J$1</f>
        <v>-857.519782151086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$G$1</f>
        <v>0</v>
      </c>
      <c r="D107" s="6" t="n">
        <f aca="false">(( -A107 ) * SIN(RADIANS($F$1)) + (B107 - 0) * COS(RADIANS($F$1))) * $E$1 + ($G$1 * TAN(RADIANS($I$1))) + $L$1</f>
        <v>21.9314932370799</v>
      </c>
      <c r="E107" s="6" t="n">
        <f aca="false">(( -A107 ) * COS(RADIANS($F$1)) - (B107 - 0) * SIN(RADIANS($F$1))) * $E$1 - ($G$1 * TAN(RADIANS($H$1))) - $J$1</f>
        <v>-861.441506496363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$G$1</f>
        <v>0</v>
      </c>
      <c r="D108" s="6" t="n">
        <f aca="false">(( -A108 ) * SIN(RADIANS($F$1)) + (B108 - 0) * COS(RADIANS($F$1))) * $E$1 + ($G$1 * TAN(RADIANS($I$1))) + $L$1</f>
        <v>22.4245299927015</v>
      </c>
      <c r="E108" s="6" t="n">
        <f aca="false">(( -A108 ) * COS(RADIANS($F$1)) - (B108 - 0) * SIN(RADIANS($F$1))) * $E$1 - ($G$1 * TAN(RADIANS($H$1))) - $J$1</f>
        <v>-865.301631245436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$G$1</f>
        <v>0</v>
      </c>
      <c r="D109" s="6" t="n">
        <f aca="false">(( -A109 ) * SIN(RADIANS($F$1)) + (B109 - 0) * COS(RADIANS($F$1))) * $E$1 + ($G$1 * TAN(RADIANS($I$1))) + $L$1</f>
        <v>22.9210509642515</v>
      </c>
      <c r="E109" s="6" t="n">
        <f aca="false">(( -A109 ) * COS(RADIANS($F$1)) - (B109 - 0) * SIN(RADIANS($F$1))) * $E$1 - ($G$1 * TAN(RADIANS($H$1))) - $J$1</f>
        <v>-869.091041319658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$G$1</f>
        <v>0</v>
      </c>
      <c r="D110" s="6" t="n">
        <f aca="false">(( -A110 ) * SIN(RADIANS($F$1)) + (B110 - 0) * COS(RADIANS($F$1))) * $E$1 + ($G$1 * TAN(RADIANS($I$1))) + $L$1</f>
        <v>23.4187207487209</v>
      </c>
      <c r="E110" s="6" t="n">
        <f aca="false">(( -A110 ) * COS(RADIANS($F$1)) - (B110 - 0) * SIN(RADIANS($F$1))) * $E$1 - ($G$1 * TAN(RADIANS($H$1))) - $J$1</f>
        <v>-872.801313091971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$G$1</f>
        <v>0</v>
      </c>
      <c r="D111" s="6" t="n">
        <f aca="false">(( -A111 ) * SIN(RADIANS($F$1)) + (B111 - 0) * COS(RADIANS($F$1))) * $E$1 + ($G$1 * TAN(RADIANS($I$1))) + $L$1</f>
        <v>23.9155259372383</v>
      </c>
      <c r="E111" s="6" t="n">
        <f aca="false">(( -A111 ) * COS(RADIANS($F$1)) - (B111 - 0) * SIN(RADIANS($F$1))) * $E$1 - ($G$1 * TAN(RADIANS($H$1))) - $J$1</f>
        <v>-876.42350138017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$G$1</f>
        <v>0</v>
      </c>
      <c r="D112" s="6" t="n">
        <f aca="false">(( -A112 ) * SIN(RADIANS($F$1)) + (B112 - 0) * COS(RADIANS($F$1))) * $E$1 + ($G$1 * TAN(RADIANS($I$1))) + $L$1</f>
        <v>24.4089612303542</v>
      </c>
      <c r="E112" s="6" t="n">
        <f aca="false">(( -A112 ) * COS(RADIANS($F$1)) - (B112 - 0) * SIN(RADIANS($F$1))) * $E$1 - ($G$1 * TAN(RADIANS($H$1))) - $J$1</f>
        <v>-879.949188490111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$G$1</f>
        <v>0</v>
      </c>
      <c r="D113" s="6" t="n">
        <f aca="false">(( -A113 ) * SIN(RADIANS($F$1)) + (B113 - 0) * COS(RADIANS($F$1))) * $E$1 + ($G$1 * TAN(RADIANS($I$1))) + $L$1</f>
        <v>24.8973826766506</v>
      </c>
      <c r="E113" s="6" t="n">
        <f aca="false">(( -A113 ) * COS(RADIANS($F$1)) - (B113 - 0) * SIN(RADIANS($F$1))) * $E$1 - ($G$1 * TAN(RADIANS($H$1))) - $J$1</f>
        <v>-883.370266855962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$G$1</f>
        <v>0</v>
      </c>
      <c r="D114" s="6" t="n">
        <f aca="false">(( -A114 ) * SIN(RADIANS($F$1)) + (B114 - 0) * COS(RADIANS($F$1))) * $E$1 + ($G$1 * TAN(RADIANS($I$1))) + $L$1</f>
        <v>25.3784726718618</v>
      </c>
      <c r="E114" s="6" t="n">
        <f aca="false">(( -A114 ) * COS(RADIANS($F$1)) - (B114 - 0) * SIN(RADIANS($F$1))) * $E$1 - ($G$1 * TAN(RADIANS($H$1))) - $J$1</f>
        <v>-886.67882253999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$G$1</f>
        <v>0</v>
      </c>
      <c r="D115" s="6" t="n">
        <f aca="false">(( -A115 ) * SIN(RADIANS($F$1)) + (B115 - 0) * COS(RADIANS($F$1))) * $E$1 + ($G$1 * TAN(RADIANS($I$1))) + $L$1</f>
        <v>25.8504292339582</v>
      </c>
      <c r="E115" s="6" t="n">
        <f aca="false">(( -A115 ) * COS(RADIANS($F$1)) - (B115 - 0) * SIN(RADIANS($F$1))) * $E$1 - ($G$1 * TAN(RADIANS($H$1))) - $J$1</f>
        <v>-889.867093702155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$G$1</f>
        <v>0</v>
      </c>
      <c r="D116" s="6" t="n">
        <f aca="false">(( -A116 ) * SIN(RADIANS($F$1)) + (B116 - 0) * COS(RADIANS($F$1))) * $E$1 + ($G$1 * TAN(RADIANS($I$1))) + $L$1</f>
        <v>26.3109525574175</v>
      </c>
      <c r="E116" s="6" t="n">
        <f aca="false">(( -A116 ) * COS(RADIANS($F$1)) - (B116 - 0) * SIN(RADIANS($F$1))) * $E$1 - ($G$1 * TAN(RADIANS($H$1))) - $J$1</f>
        <v>-892.927676094045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$G$1</f>
        <v>0</v>
      </c>
      <c r="D117" s="6" t="n">
        <f aca="false">(( -A117 ) * SIN(RADIANS($F$1)) + (B117 - 0) * COS(RADIANS($F$1))) * $E$1 + ($G$1 * TAN(RADIANS($I$1))) + $L$1</f>
        <v>26.7584342883083</v>
      </c>
      <c r="E117" s="6" t="n">
        <f aca="false">(( -A117 ) * COS(RADIANS($F$1)) - (B117 - 0) * SIN(RADIANS($F$1))) * $E$1 - ($G$1 * TAN(RADIANS($H$1))) - $J$1</f>
        <v>-895.853481528472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$G$1</f>
        <v>0</v>
      </c>
      <c r="D118" s="6" t="n">
        <f aca="false">(( -A118 ) * SIN(RADIANS($F$1)) + (B118 - 0) * COS(RADIANS($F$1))) * $E$1 + ($G$1 * TAN(RADIANS($I$1))) + $L$1</f>
        <v>27.1907563833778</v>
      </c>
      <c r="E118" s="6" t="n">
        <f aca="false">(( -A118 ) * COS(RADIANS($F$1)) - (B118 - 0) * SIN(RADIANS($F$1))) * $E$1 - ($G$1 * TAN(RADIANS($H$1))) - $J$1</f>
        <v>-898.637439616988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$G$1</f>
        <v>0</v>
      </c>
      <c r="D119" s="6" t="n">
        <f aca="false">(( -A119 ) * SIN(RADIANS($F$1)) + (B119 - 0) * COS(RADIANS($F$1))) * $E$1 + ($G$1 * TAN(RADIANS($I$1))) + $L$1</f>
        <v>27.6060062933</v>
      </c>
      <c r="E119" s="6" t="n">
        <f aca="false">(( -A119 ) * COS(RADIANS($F$1)) - (B119 - 0) * SIN(RADIANS($F$1))) * $E$1 - ($G$1 * TAN(RADIANS($H$1))) - $J$1</f>
        <v>-901.273493416877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$G$1</f>
        <v>0</v>
      </c>
      <c r="D120" s="6" t="n">
        <f aca="false">(( -A120 ) * SIN(RADIANS($F$1)) + (B120 - 0) * COS(RADIANS($F$1))) * $E$1 + ($G$1 * TAN(RADIANS($I$1))) + $L$1</f>
        <v>28.0024354322756</v>
      </c>
      <c r="E120" s="6" t="n">
        <f aca="false">(( -A120 ) * COS(RADIANS($F$1)) - (B120 - 0) * SIN(RADIANS($F$1))) * $E$1 - ($G$1 * TAN(RADIANS($H$1))) - $J$1</f>
        <v>-903.755410156067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$G$1</f>
        <v>0</v>
      </c>
      <c r="D121" s="6" t="n">
        <f aca="false">(( -A121 ) * SIN(RADIANS($F$1)) + (B121 - 0) * COS(RADIANS($F$1))) * $E$1 + ($G$1 * TAN(RADIANS($I$1))) + $L$1</f>
        <v>28.3781312509786</v>
      </c>
      <c r="E121" s="6" t="n">
        <f aca="false">(( -A121 ) * COS(RADIANS($F$1)) - (B121 - 0) * SIN(RADIANS($F$1))) * $E$1 - ($G$1 * TAN(RADIANS($H$1))) - $J$1</f>
        <v>-906.077132891841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$G$1</f>
        <v>0</v>
      </c>
      <c r="D122" s="6" t="n">
        <f aca="false">(( -A122 ) * SIN(RADIANS($F$1)) + (B122 - 0) * COS(RADIANS($F$1))) * $E$1 + ($G$1 * TAN(RADIANS($I$1))) + $L$1</f>
        <v>28.7312167975701</v>
      </c>
      <c r="E122" s="6" t="n">
        <f aca="false">(( -A122 ) * COS(RADIANS($F$1)) - (B122 - 0) * SIN(RADIANS($F$1))) * $E$1 - ($G$1 * TAN(RADIANS($H$1))) - $J$1</f>
        <v>-908.233624060125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$G$1</f>
        <v>0</v>
      </c>
      <c r="D123" s="6" t="n">
        <f aca="false">(( -A123 ) * SIN(RADIANS($F$1)) + (B123 - 0) * COS(RADIANS($F$1))) * $E$1 + ($G$1 * TAN(RADIANS($I$1))) + $L$1</f>
        <v>29.0603188766181</v>
      </c>
      <c r="E123" s="6" t="n">
        <f aca="false">(( -A123 ) * COS(RADIANS($F$1)) - (B123 - 0) * SIN(RADIANS($F$1))) * $E$1 - ($G$1 * TAN(RADIANS($H$1))) - $J$1</f>
        <v>-910.219658401662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$G$1</f>
        <v>0</v>
      </c>
      <c r="D124" s="6" t="n">
        <f aca="false">(( -A124 ) * SIN(RADIANS($F$1)) + (B124 - 0) * COS(RADIANS($F$1))) * $E$1 + ($G$1 * TAN(RADIANS($I$1))) + $L$1</f>
        <v>29.363578335027</v>
      </c>
      <c r="E124" s="6" t="n">
        <f aca="false">(( -A124 ) * COS(RADIANS($F$1)) - (B124 - 0) * SIN(RADIANS($F$1))) * $E$1 - ($G$1 * TAN(RADIANS($H$1))) - $J$1</f>
        <v>-912.030708041702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$G$1</f>
        <v>0</v>
      </c>
      <c r="D125" s="6" t="n">
        <f aca="false">(( -A125 ) * SIN(RADIANS($F$1)) + (B125 - 0) * COS(RADIANS($F$1))) * $E$1 + ($G$1 * TAN(RADIANS($I$1))) + $L$1</f>
        <v>29.639487678411</v>
      </c>
      <c r="E125" s="6" t="n">
        <f aca="false">(( -A125 ) * COS(RADIANS($F$1)) - (B125 - 0) * SIN(RADIANS($F$1))) * $E$1 - ($G$1 * TAN(RADIANS($H$1))) - $J$1</f>
        <v>-913.662573032543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$G$1</f>
        <v>0</v>
      </c>
      <c r="D126" s="6" t="n">
        <f aca="false">(( -A126 ) * SIN(RADIANS($F$1)) + (B126 - 0) * COS(RADIANS($F$1))) * $E$1 + ($G$1 * TAN(RADIANS($I$1))) + $L$1</f>
        <v>29.8865572111276</v>
      </c>
      <c r="E126" s="6" t="n">
        <f aca="false">(( -A126 ) * COS(RADIANS($F$1)) - (B126 - 0) * SIN(RADIANS($F$1))) * $E$1 - ($G$1 * TAN(RADIANS($H$1))) - $J$1</f>
        <v>-915.111563115809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$G$1</f>
        <v>0</v>
      </c>
      <c r="D127" s="6" t="n">
        <f aca="false">(( -A127 ) * SIN(RADIANS($F$1)) + (B127 - 0) * COS(RADIANS($F$1))) * $E$1 + ($G$1 * TAN(RADIANS($I$1))) + $L$1</f>
        <v>30.1036429633301</v>
      </c>
      <c r="E127" s="6" t="n">
        <f aca="false">(( -A127 ) * COS(RADIANS($F$1)) - (B127 - 0) * SIN(RADIANS($F$1))) * $E$1 - ($G$1 * TAN(RADIANS($H$1))) - $J$1</f>
        <v>-916.374146063734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$G$1</f>
        <v>0</v>
      </c>
      <c r="D128" s="6" t="n">
        <f aca="false">(( -A128 ) * SIN(RADIANS($F$1)) + (B128 - 0) * COS(RADIANS($F$1))) * $E$1 + ($G$1 * TAN(RADIANS($I$1))) + $L$1</f>
        <v>30.2894548003889</v>
      </c>
      <c r="E128" s="6" t="n">
        <f aca="false">(( -A128 ) * COS(RADIANS($F$1)) - (B128 - 0) * SIN(RADIANS($F$1))) * $E$1 - ($G$1 * TAN(RADIANS($H$1))) - $J$1</f>
        <v>-917.447475167228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$G$1</f>
        <v>0</v>
      </c>
      <c r="D129" s="6" t="n">
        <f aca="false">(( -A129 ) * SIN(RADIANS($F$1)) + (B129 - 0) * COS(RADIANS($F$1))) * $E$1 + ($G$1 * TAN(RADIANS($I$1))) + $L$1</f>
        <v>30.4427144535032</v>
      </c>
      <c r="E129" s="6" t="n">
        <f aca="false">(( -A129 ) * COS(RADIANS($F$1)) - (B129 - 0) * SIN(RADIANS($F$1))) * $E$1 - ($G$1 * TAN(RADIANS($H$1))) - $J$1</f>
        <v>-918.329043510085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$G$1</f>
        <v>0</v>
      </c>
      <c r="D130" s="6" t="n">
        <f aca="false">(( -A130 ) * SIN(RADIANS($F$1)) + (B130 - 0) * COS(RADIANS($F$1))) * $E$1 + ($G$1 * TAN(RADIANS($I$1))) + $L$1</f>
        <v>30.5630109348186</v>
      </c>
      <c r="E130" s="6" t="n">
        <f aca="false">(( -A130 ) * COS(RADIANS($F$1)) - (B130 - 0) * SIN(RADIANS($F$1))) * $E$1 - ($G$1 * TAN(RADIANS($H$1))) - $J$1</f>
        <v>-919.016824200846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$G$1</f>
        <v>0</v>
      </c>
      <c r="D131" s="6" t="n">
        <f aca="false">(( -A131 ) * SIN(RADIANS($F$1)) + (B131 - 0) * COS(RADIANS($F$1))) * $E$1 + ($G$1 * TAN(RADIANS($I$1))) + $L$1</f>
        <v>30.6494413659021</v>
      </c>
      <c r="E131" s="6" t="n">
        <f aca="false">(( -A131 ) * COS(RADIANS($F$1)) - (B131 - 0) * SIN(RADIANS($F$1))) * $E$1 - ($G$1 * TAN(RADIANS($H$1))) - $J$1</f>
        <v>-919.509317836117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$G$1</f>
        <v>0</v>
      </c>
      <c r="D132" s="6" t="n">
        <f aca="false">(( -A132 ) * SIN(RADIANS($F$1)) + (B132 - 0) * COS(RADIANS($F$1))) * $E$1 + ($G$1 * TAN(RADIANS($I$1))) + $L$1</f>
        <v>30.7014485941164</v>
      </c>
      <c r="E132" s="6" t="n">
        <f aca="false">(( -A132 ) * COS(RADIANS($F$1)) - (B132 - 0) * SIN(RADIANS($F$1))) * $E$1 - ($G$1 * TAN(RADIANS($H$1))) - $J$1</f>
        <v>-919.805183043118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$G$1</f>
        <v>0</v>
      </c>
      <c r="D133" s="6" t="n">
        <f aca="false">(( -A133 ) * SIN(RADIANS($F$1)) + (B133 - 0) * COS(RADIANS($F$1))) * $E$1 + ($G$1 * TAN(RADIANS($I$1))) + $L$1</f>
        <v>30.9329144394252</v>
      </c>
      <c r="E133" s="6" t="n">
        <f aca="false">(( -A133 ) * COS(RADIANS($F$1)) - (B133 - 0) * SIN(RADIANS($F$1))) * $E$1 - ($G$1 * TAN(RADIANS($H$1))) - $J$1</f>
        <v>-919.896440593246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64</v>
      </c>
      <c r="E1" s="4" t="n">
        <v>170</v>
      </c>
      <c r="F1" s="4" t="n">
        <v>-2</v>
      </c>
      <c r="G1" s="4" t="n">
        <v>200</v>
      </c>
      <c r="H1" s="4" t="n">
        <v>0</v>
      </c>
      <c r="I1" s="4" t="n">
        <v>0</v>
      </c>
      <c r="J1" s="4" t="n">
        <v>750</v>
      </c>
      <c r="L1" s="4" t="n">
        <v>25</v>
      </c>
    </row>
    <row r="2" customFormat="false" ht="15" hidden="false" customHeight="tru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58</v>
      </c>
      <c r="J2" s="5" t="s">
        <v>59</v>
      </c>
      <c r="L2" s="5" t="s">
        <v>60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$G$1</f>
        <v>200</v>
      </c>
      <c r="D3" s="6" t="n">
        <f aca="false">(( -A3 ) * SIN(RADIANS($F$1)) + (B3 - 0) * COS(RADIANS($F$1))) * $E$1 + ($G$1 * TAN(RADIANS($I$1))) + $L$1</f>
        <v>30.9329144394252</v>
      </c>
      <c r="E3" s="6" t="n">
        <f aca="false">(( -A3 ) * COS(RADIANS($F$1)) - (B3 - 0) * SIN(RADIANS($F$1))) * $E$1 - ($G$1 * TAN(RADIANS($H$1))) - $J$1</f>
        <v>-919.896440593246</v>
      </c>
      <c r="N3" s="5" t="s">
        <v>61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$G$1</f>
        <v>200</v>
      </c>
      <c r="D4" s="6" t="n">
        <f aca="false">(( -A4 ) * SIN(RADIANS($F$1)) + (B4 - 0) * COS(RADIANS($F$1))) * $E$1 + ($G$1 * TAN(RADIANS($I$1))) + $L$1</f>
        <v>31.1574506406687</v>
      </c>
      <c r="E4" s="6" t="n">
        <f aca="false">(( -A4 ) * COS(RADIANS($F$1)) - (B4 - 0) * SIN(RADIANS($F$1))) * $E$1 - ($G$1 * TAN(RADIANS($H$1))) - $J$1</f>
        <v>-919.789259100762</v>
      </c>
      <c r="N4" s="5" t="s">
        <v>62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$G$1</f>
        <v>200</v>
      </c>
      <c r="D5" s="6" t="n">
        <f aca="false">(( -A5 ) * SIN(RADIANS($F$1)) + (B5 - 0) * COS(RADIANS($F$1))) * $E$1 + ($G$1 * TAN(RADIANS($I$1))) + $L$1</f>
        <v>31.188692668345</v>
      </c>
      <c r="E5" s="6" t="n">
        <f aca="false">(( -A5 ) * COS(RADIANS($F$1)) - (B5 - 0) * SIN(RADIANS($F$1))) * $E$1 - ($G$1 * TAN(RADIANS($H$1))) - $J$1</f>
        <v>-919.490486765686</v>
      </c>
      <c r="N5" s="5" t="s">
        <v>63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$G$1</f>
        <v>200</v>
      </c>
      <c r="D6" s="6" t="n">
        <f aca="false">(( -A6 ) * SIN(RADIANS($F$1)) + (B6 - 0) * COS(RADIANS($F$1))) * $E$1 + ($G$1 * TAN(RADIANS($I$1))) + $L$1</f>
        <v>31.2405579399044</v>
      </c>
      <c r="E6" s="6" t="n">
        <f aca="false">(( -A6 ) * COS(RADIANS($F$1)) - (B6 - 0) * SIN(RADIANS($F$1))) * $E$1 - ($G$1 * TAN(RADIANS($H$1))) - $J$1</f>
        <v>-918.993163738061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$G$1</f>
        <v>200</v>
      </c>
      <c r="D7" s="6" t="n">
        <f aca="false">(( -A7 ) * SIN(RADIANS($F$1)) + (B7 - 0) * COS(RADIANS($F$1))) * $E$1 + ($G$1 * TAN(RADIANS($I$1))) + $L$1</f>
        <v>31.3125842293406</v>
      </c>
      <c r="E7" s="6" t="n">
        <f aca="false">(( -A7 ) * COS(RADIANS($F$1)) - (B7 - 0) * SIN(RADIANS($F$1))) * $E$1 - ($G$1 * TAN(RADIANS($H$1))) - $J$1</f>
        <v>-918.298666988155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$G$1</f>
        <v>200</v>
      </c>
      <c r="D8" s="6" t="n">
        <f aca="false">(( -A8 ) * SIN(RADIANS($F$1)) + (B8 - 0) * COS(RADIANS($F$1))) * $E$1 + ($G$1 * TAN(RADIANS($I$1))) + $L$1</f>
        <v>31.4039754506806</v>
      </c>
      <c r="E8" s="6" t="n">
        <f aca="false">(( -A8 ) * COS(RADIANS($F$1)) - (B8 - 0) * SIN(RADIANS($F$1))) * $E$1 - ($G$1 * TAN(RADIANS($H$1))) - $J$1</f>
        <v>-917.408555248506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$G$1</f>
        <v>200</v>
      </c>
      <c r="D9" s="6" t="n">
        <f aca="false">(( -A9 ) * SIN(RADIANS($F$1)) + (B9 - 0) * COS(RADIANS($F$1))) * $E$1 + ($G$1 * TAN(RADIANS($I$1))) + $L$1</f>
        <v>31.5144630060164</v>
      </c>
      <c r="E9" s="6" t="n">
        <f aca="false">(( -A9 ) * COS(RADIANS($F$1)) - (B9 - 0) * SIN(RADIANS($F$1))) * $E$1 - ($G$1 * TAN(RADIANS($H$1))) - $J$1</f>
        <v>-916.324879142229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$G$1</f>
        <v>200</v>
      </c>
      <c r="D10" s="6" t="n">
        <f aca="false">(( -A10 ) * SIN(RADIANS($F$1)) + (B10 - 0) * COS(RADIANS($F$1))) * $E$1 + ($G$1 * TAN(RADIANS($I$1))) + $L$1</f>
        <v>31.6429466139806</v>
      </c>
      <c r="E10" s="6" t="n">
        <f aca="false">(( -A10 ) * COS(RADIANS($F$1)) - (B10 - 0) * SIN(RADIANS($F$1))) * $E$1 - ($G$1 * TAN(RADIANS($H$1))) - $J$1</f>
        <v>-915.050228646334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$G$1</f>
        <v>200</v>
      </c>
      <c r="D11" s="6" t="n">
        <f aca="false">(( -A11 ) * SIN(RADIANS($F$1)) + (B11 - 0) * COS(RADIANS($F$1))) * $E$1 + ($G$1 * TAN(RADIANS($I$1))) + $L$1</f>
        <v>31.7883378590344</v>
      </c>
      <c r="E11" s="6" t="n">
        <f aca="false">(( -A11 ) * COS(RADIANS($F$1)) - (B11 - 0) * SIN(RADIANS($F$1))) * $E$1 - ($G$1 * TAN(RADIANS($H$1))) - $J$1</f>
        <v>-913.587533530713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$G$1</f>
        <v>200</v>
      </c>
      <c r="D12" s="6" t="n">
        <f aca="false">(( -A12 ) * SIN(RADIANS($F$1)) + (B12 - 0) * COS(RADIANS($F$1))) * $E$1 + ($G$1 * TAN(RADIANS($I$1))) + $L$1</f>
        <v>31.9497419537374</v>
      </c>
      <c r="E12" s="6" t="n">
        <f aca="false">(( -A12 ) * COS(RADIANS($F$1)) - (B12 - 0) * SIN(RADIANS($F$1))) * $E$1 - ($G$1 * TAN(RADIANS($H$1))) - $J$1</f>
        <v>-911.940397218104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$G$1</f>
        <v>200</v>
      </c>
      <c r="D13" s="6" t="n">
        <f aca="false">(( -A13 ) * SIN(RADIANS($F$1)) + (B13 - 0) * COS(RADIANS($F$1))) * $E$1 + ($G$1 * TAN(RADIANS($I$1))) + $L$1</f>
        <v>32.1259302506827</v>
      </c>
      <c r="E13" s="6" t="n">
        <f aca="false">(( -A13 ) * COS(RADIANS($F$1)) - (B13 - 0) * SIN(RADIANS($F$1))) * $E$1 - ($G$1 * TAN(RADIANS($H$1))) - $J$1</f>
        <v>-910.112604893517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$G$1</f>
        <v>200</v>
      </c>
      <c r="D14" s="6" t="n">
        <f aca="false">(( -A14 ) * SIN(RADIANS($F$1)) + (B14 - 0) * COS(RADIANS($F$1))) * $E$1 + ($G$1 * TAN(RADIANS($I$1))) + $L$1</f>
        <v>32.3156919012064</v>
      </c>
      <c r="E14" s="6" t="n">
        <f aca="false">(( -A14 ) * COS(RADIANS($F$1)) - (B14 - 0) * SIN(RADIANS($F$1))) * $E$1 - ($G$1 * TAN(RADIANS($H$1))) - $J$1</f>
        <v>-908.108451431282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$G$1</f>
        <v>200</v>
      </c>
      <c r="D15" s="6" t="n">
        <f aca="false">(( -A15 ) * SIN(RADIANS($F$1)) + (B15 - 0) * COS(RADIANS($F$1))) * $E$1 + ($G$1 * TAN(RADIANS($I$1))) + $L$1</f>
        <v>32.5174881295925</v>
      </c>
      <c r="E15" s="6" t="n">
        <f aca="false">(( -A15 ) * COS(RADIANS($F$1)) - (B15 - 0) * SIN(RADIANS($F$1))) * $E$1 - ($G$1 * TAN(RADIANS($H$1))) - $J$1</f>
        <v>-905.932583364438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$G$1</f>
        <v>200</v>
      </c>
      <c r="D16" s="6" t="n">
        <f aca="false">(( -A16 ) * SIN(RADIANS($F$1)) + (B16 - 0) * COS(RADIANS($F$1))) * $E$1 + ($G$1 * TAN(RADIANS($I$1))) + $L$1</f>
        <v>32.7303135811045</v>
      </c>
      <c r="E16" s="6" t="n">
        <f aca="false">(( -A16 ) * COS(RADIANS($F$1)) - (B16 - 0) * SIN(RADIANS($F$1))) * $E$1 - ($G$1 * TAN(RADIANS($H$1))) - $J$1</f>
        <v>-903.590309013046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$G$1</f>
        <v>200</v>
      </c>
      <c r="D17" s="6" t="n">
        <f aca="false">(( -A17 ) * SIN(RADIANS($F$1)) + (B17 - 0) * COS(RADIANS($F$1))) * $E$1 + ($G$1 * TAN(RADIANS($I$1))) + $L$1</f>
        <v>32.9526472787695</v>
      </c>
      <c r="E17" s="6" t="n">
        <f aca="false">(( -A17 ) * COS(RADIANS($F$1)) - (B17 - 0) * SIN(RADIANS($F$1))) * $E$1 - ($G$1 * TAN(RADIANS($H$1))) - $J$1</f>
        <v>-901.086784599468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$G$1</f>
        <v>200</v>
      </c>
      <c r="D18" s="6" t="n">
        <f aca="false">(( -A18 ) * SIN(RADIANS($F$1)) + (B18 - 0) * COS(RADIANS($F$1))) * $E$1 + ($G$1 * TAN(RADIANS($I$1))) + $L$1</f>
        <v>33.1830038431015</v>
      </c>
      <c r="E18" s="6" t="n">
        <f aca="false">(( -A18 ) * COS(RADIANS($F$1)) - (B18 - 0) * SIN(RADIANS($F$1))) * $E$1 - ($G$1 * TAN(RADIANS($H$1))) - $J$1</f>
        <v>-898.428185724709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$G$1</f>
        <v>200</v>
      </c>
      <c r="D19" s="6" t="n">
        <f aca="false">(( -A19 ) * SIN(RADIANS($F$1)) + (B19 - 0) * COS(RADIANS($F$1))) * $E$1 + ($G$1 * TAN(RADIANS($I$1))) + $L$1</f>
        <v>33.4200737239695</v>
      </c>
      <c r="E19" s="6" t="n">
        <f aca="false">(( -A19 ) * COS(RADIANS($F$1)) - (B19 - 0) * SIN(RADIANS($F$1))) * $E$1 - ($G$1 * TAN(RADIANS($H$1))) - $J$1</f>
        <v>-895.620851953302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$G$1</f>
        <v>200</v>
      </c>
      <c r="D20" s="6" t="n">
        <f aca="false">(( -A20 ) * SIN(RADIANS($F$1)) + (B20 - 0) * COS(RADIANS($F$1))) * $E$1 + ($G$1 * TAN(RADIANS($I$1))) + $L$1</f>
        <v>33.6623715418873</v>
      </c>
      <c r="E20" s="6" t="n">
        <f aca="false">(( -A20 ) * COS(RADIANS($F$1)) - (B20 - 0) * SIN(RADIANS($F$1))) * $E$1 - ($G$1 * TAN(RADIANS($H$1))) - $J$1</f>
        <v>-892.670958886251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$G$1</f>
        <v>200</v>
      </c>
      <c r="D21" s="6" t="n">
        <f aca="false">(( -A21 ) * SIN(RADIANS($F$1)) + (B21 - 0) * COS(RADIANS($F$1))) * $E$1 + ($G$1 * TAN(RADIANS($I$1))) + $L$1</f>
        <v>33.9082776184147</v>
      </c>
      <c r="E21" s="6" t="n">
        <f aca="false">(( -A21 ) * COS(RADIANS($F$1)) - (B21 - 0) * SIN(RADIANS($F$1))) * $E$1 - ($G$1 * TAN(RADIANS($H$1))) - $J$1</f>
        <v>-889.585707436122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$G$1</f>
        <v>200</v>
      </c>
      <c r="D22" s="6" t="n">
        <f aca="false">(( -A22 ) * SIN(RADIANS($F$1)) + (B22 - 0) * COS(RADIANS($F$1))) * $E$1 + ($G$1 * TAN(RADIANS($I$1))) + $L$1</f>
        <v>34.1566819644336</v>
      </c>
      <c r="E22" s="6" t="n">
        <f aca="false">(( -A22 ) * COS(RADIANS($F$1)) - (B22 - 0) * SIN(RADIANS($F$1))) * $E$1 - ($G$1 * TAN(RADIANS($H$1))) - $J$1</f>
        <v>-886.372280716733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$G$1</f>
        <v>200</v>
      </c>
      <c r="D23" s="6" t="n">
        <f aca="false">(( -A23 ) * SIN(RADIANS($F$1)) + (B23 - 0) * COS(RADIANS($F$1))) * $E$1 + ($G$1 * TAN(RADIANS($I$1))) + $L$1</f>
        <v>34.4058068708922</v>
      </c>
      <c r="E23" s="6" t="n">
        <f aca="false">(( -A23 ) * COS(RADIANS($F$1)) - (B23 - 0) * SIN(RADIANS($F$1))) * $E$1 - ($G$1 * TAN(RADIANS($H$1))) - $J$1</f>
        <v>-883.038225366446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$G$1</f>
        <v>200</v>
      </c>
      <c r="D24" s="6" t="n">
        <f aca="false">(( -A24 ) * SIN(RADIANS($F$1)) + (B24 - 0) * COS(RADIANS($F$1))) * $E$1 + ($G$1 * TAN(RADIANS($I$1))) + $L$1</f>
        <v>34.6543961838893</v>
      </c>
      <c r="E24" s="6" t="n">
        <f aca="false">(( -A24 ) * COS(RADIANS($F$1)) - (B24 - 0) * SIN(RADIANS($F$1))) * $E$1 - ($G$1 * TAN(RADIANS($H$1))) - $J$1</f>
        <v>-879.591410017756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$G$1</f>
        <v>200</v>
      </c>
      <c r="D25" s="6" t="n">
        <f aca="false">(( -A25 ) * SIN(RADIANS($F$1)) + (B25 - 0) * COS(RADIANS($F$1))) * $E$1 + ($G$1 * TAN(RADIANS($I$1))) + $L$1</f>
        <v>34.9006899931164</v>
      </c>
      <c r="E25" s="6" t="n">
        <f aca="false">(( -A25 ) * COS(RADIANS($F$1)) - (B25 - 0) * SIN(RADIANS($F$1))) * $E$1 - ($G$1 * TAN(RADIANS($H$1))) - $J$1</f>
        <v>-876.039890998345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$G$1</f>
        <v>200</v>
      </c>
      <c r="D26" s="6" t="n">
        <f aca="false">(( -A26 ) * SIN(RADIANS($F$1)) + (B26 - 0) * COS(RADIANS($F$1))) * $E$1 + ($G$1 * TAN(RADIANS($I$1))) + $L$1</f>
        <v>35.143613906942</v>
      </c>
      <c r="E26" s="6" t="n">
        <f aca="false">(( -A26 ) * COS(RADIANS($F$1)) - (B26 - 0) * SIN(RADIANS($F$1))) * $E$1 - ($G$1 * TAN(RADIANS($H$1))) - $J$1</f>
        <v>-872.391870800677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$G$1</f>
        <v>200</v>
      </c>
      <c r="D27" s="6" t="n">
        <f aca="false">(( -A27 ) * SIN(RADIANS($F$1)) + (B27 - 0) * COS(RADIANS($F$1))) * $E$1 + ($G$1 * TAN(RADIANS($I$1))) + $L$1</f>
        <v>35.3812559173602</v>
      </c>
      <c r="E27" s="6" t="n">
        <f aca="false">(( -A27 ) * COS(RADIANS($F$1)) - (B27 - 0) * SIN(RADIANS($F$1))) * $E$1 - ($G$1 * TAN(RADIANS($H$1))) - $J$1</f>
        <v>-868.65592137467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$G$1</f>
        <v>200</v>
      </c>
      <c r="D28" s="6" t="n">
        <f aca="false">(( -A28 ) * SIN(RADIANS($F$1)) + (B28 - 0) * COS(RADIANS($F$1))) * $E$1 + ($G$1 * TAN(RADIANS($I$1))) + $L$1</f>
        <v>35.6122315044305</v>
      </c>
      <c r="E28" s="6" t="n">
        <f aca="false">(( -A28 ) * COS(RADIANS($F$1)) - (B28 - 0) * SIN(RADIANS($F$1))) * $E$1 - ($G$1 * TAN(RADIANS($H$1))) - $J$1</f>
        <v>-864.841106560819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$G$1</f>
        <v>200</v>
      </c>
      <c r="D29" s="6" t="n">
        <f aca="false">(( -A29 ) * SIN(RADIANS($F$1)) + (B29 - 0) * COS(RADIANS($F$1))) * $E$1 + ($G$1 * TAN(RADIANS($I$1))) + $L$1</f>
        <v>35.8347985565876</v>
      </c>
      <c r="E29" s="6" t="n">
        <f aca="false">(( -A29 ) * COS(RADIANS($F$1)) - (B29 - 0) * SIN(RADIANS($F$1))) * $E$1 - ($G$1 * TAN(RADIANS($H$1))) - $J$1</f>
        <v>-860.955992376127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$G$1</f>
        <v>200</v>
      </c>
      <c r="D30" s="6" t="n">
        <f aca="false">(( -A30 ) * SIN(RADIANS($F$1)) + (B30 - 0) * COS(RADIANS($F$1))) * $E$1 + ($G$1 * TAN(RADIANS($I$1))) + $L$1</f>
        <v>36.0475784868054</v>
      </c>
      <c r="E30" s="6" t="n">
        <f aca="false">(( -A30 ) * COS(RADIANS($F$1)) - (B30 - 0) * SIN(RADIANS($F$1))) * $E$1 - ($G$1 * TAN(RADIANS($H$1))) - $J$1</f>
        <v>-857.009812557531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$G$1</f>
        <v>200</v>
      </c>
      <c r="D31" s="6" t="n">
        <f aca="false">(( -A31 ) * SIN(RADIANS($F$1)) + (B31 - 0) * COS(RADIANS($F$1))) * $E$1 + ($G$1 * TAN(RADIANS($I$1))) + $L$1</f>
        <v>36.2485131222953</v>
      </c>
      <c r="E31" s="6" t="n">
        <f aca="false">(( -A31 ) * COS(RADIANS($F$1)) - (B31 - 0) * SIN(RADIANS($F$1))) * $E$1 - ($G$1 * TAN(RADIANS($H$1))) - $J$1</f>
        <v>-853.011824573624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$G$1</f>
        <v>200</v>
      </c>
      <c r="D32" s="6" t="n">
        <f aca="false">(( -A32 ) * SIN(RADIANS($F$1)) + (B32 - 0) * COS(RADIANS($F$1))) * $E$1 + ($G$1 * TAN(RADIANS($I$1))) + $L$1</f>
        <v>36.4360658454193</v>
      </c>
      <c r="E32" s="6" t="n">
        <f aca="false">(( -A32 ) * COS(RADIANS($F$1)) - (B32 - 0) * SIN(RADIANS($F$1))) * $E$1 - ($G$1 * TAN(RADIANS($H$1))) - $J$1</f>
        <v>-848.97160788714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$G$1</f>
        <v>200</v>
      </c>
      <c r="D33" s="6" t="n">
        <f aca="false">(( -A33 ) * SIN(RADIANS($F$1)) + (B33 - 0) * COS(RADIANS($F$1))) * $E$1 + ($G$1 * TAN(RADIANS($I$1))) + $L$1</f>
        <v>36.6085123433557</v>
      </c>
      <c r="E33" s="6" t="n">
        <f aca="false">(( -A33 ) * COS(RADIANS($F$1)) - (B33 - 0) * SIN(RADIANS($F$1))) * $E$1 - ($G$1 * TAN(RADIANS($H$1))) - $J$1</f>
        <v>-844.898238204402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$G$1</f>
        <v>200</v>
      </c>
      <c r="D34" s="6" t="n">
        <f aca="false">(( -A34 ) * SIN(RADIANS($F$1)) + (B34 - 0) * COS(RADIANS($F$1))) * $E$1 + ($G$1 * TAN(RADIANS($I$1))) + $L$1</f>
        <v>36.7638181749737</v>
      </c>
      <c r="E34" s="6" t="n">
        <f aca="false">(( -A34 ) * COS(RADIANS($F$1)) - (B34 - 0) * SIN(RADIANS($F$1))) * $E$1 - ($G$1 * TAN(RADIANS($H$1))) - $J$1</f>
        <v>-840.801652579767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$G$1</f>
        <v>200</v>
      </c>
      <c r="D35" s="6" t="n">
        <f aca="false">(( -A35 ) * SIN(RADIANS($F$1)) + (B35 - 0) * COS(RADIANS($F$1))) * $E$1 + ($G$1 * TAN(RADIANS($I$1))) + $L$1</f>
        <v>36.9002768261946</v>
      </c>
      <c r="E35" s="6" t="n">
        <f aca="false">(( -A35 ) * COS(RADIANS($F$1)) - (B35 - 0) * SIN(RADIANS($F$1))) * $E$1 - ($G$1 * TAN(RADIANS($H$1))) - $J$1</f>
        <v>-836.691436408882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$G$1</f>
        <v>200</v>
      </c>
      <c r="D36" s="6" t="n">
        <f aca="false">(( -A36 ) * SIN(RADIANS($F$1)) + (B36 - 0) * COS(RADIANS($F$1))) * $E$1 + ($G$1 * TAN(RADIANS($I$1))) + $L$1</f>
        <v>37.0160059535851</v>
      </c>
      <c r="E36" s="6" t="n">
        <f aca="false">(( -A36 ) * COS(RADIANS($F$1)) - (B36 - 0) * SIN(RADIANS($F$1))) * $E$1 - ($G$1 * TAN(RADIANS($H$1))) - $J$1</f>
        <v>-832.577011123866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$G$1</f>
        <v>200</v>
      </c>
      <c r="D37" s="6" t="n">
        <f aca="false">(( -A37 ) * SIN(RADIANS($F$1)) + (B37 - 0) * COS(RADIANS($F$1))) * $E$1 + ($G$1 * TAN(RADIANS($I$1))) + $L$1</f>
        <v>37.1089711160141</v>
      </c>
      <c r="E37" s="6" t="n">
        <f aca="false">(( -A37 ) * COS(RADIANS($F$1)) - (B37 - 0) * SIN(RADIANS($F$1))) * $E$1 - ($G$1 * TAN(RADIANS($H$1))) - $J$1</f>
        <v>-828.468313779077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$G$1</f>
        <v>200</v>
      </c>
      <c r="D38" s="6" t="n">
        <f aca="false">(( -A38 ) * SIN(RADIANS($F$1)) + (B38 - 0) * COS(RADIANS($F$1))) * $E$1 + ($G$1 * TAN(RADIANS($I$1))) + $L$1</f>
        <v>37.1774598664889</v>
      </c>
      <c r="E38" s="6" t="n">
        <f aca="false">(( -A38 ) * COS(RADIANS($F$1)) - (B38 - 0) * SIN(RADIANS($F$1))) * $E$1 - ($G$1 * TAN(RADIANS($H$1))) - $J$1</f>
        <v>-824.374759873721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$G$1</f>
        <v>200</v>
      </c>
      <c r="D39" s="6" t="n">
        <f aca="false">(( -A39 ) * SIN(RADIANS($F$1)) + (B39 - 0) * COS(RADIANS($F$1))) * $E$1 + ($G$1 * TAN(RADIANS($I$1))) + $L$1</f>
        <v>37.2196017274048</v>
      </c>
      <c r="E39" s="6" t="n">
        <f aca="false">(( -A39 ) * COS(RADIANS($F$1)) - (B39 - 0) * SIN(RADIANS($F$1))) * $E$1 - ($G$1 * TAN(RADIANS($H$1))) - $J$1</f>
        <v>-820.306110632799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$G$1</f>
        <v>200</v>
      </c>
      <c r="D40" s="6" t="n">
        <f aca="false">(( -A40 ) * SIN(RADIANS($F$1)) + (B40 - 0) * COS(RADIANS($F$1))) * $E$1 + ($G$1 * TAN(RADIANS($I$1))) + $L$1</f>
        <v>37.2336842517687</v>
      </c>
      <c r="E40" s="6" t="n">
        <f aca="false">(( -A40 ) * COS(RADIANS($F$1)) - (B40 - 0) * SIN(RADIANS($F$1))) * $E$1 - ($G$1 * TAN(RADIANS($H$1))) - $J$1</f>
        <v>-816.271781555516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$G$1</f>
        <v>200</v>
      </c>
      <c r="D41" s="6" t="n">
        <f aca="false">(( -A41 ) * SIN(RADIANS($F$1)) + (B41 - 0) * COS(RADIANS($F$1))) * $E$1 + ($G$1 * TAN(RADIANS($I$1))) + $L$1</f>
        <v>37.2181708219428</v>
      </c>
      <c r="E41" s="6" t="n">
        <f aca="false">(( -A41 ) * COS(RADIANS($F$1)) - (B41 - 0) * SIN(RADIANS($F$1))) * $E$1 - ($G$1 * TAN(RADIANS($H$1))) - $J$1</f>
        <v>-812.281352104605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$G$1</f>
        <v>200</v>
      </c>
      <c r="D42" s="6" t="n">
        <f aca="false">(( -A42 ) * SIN(RADIANS($F$1)) + (B42 - 0) * COS(RADIANS($F$1))) * $E$1 + ($G$1 * TAN(RADIANS($I$1))) + $L$1</f>
        <v>37.1713549238485</v>
      </c>
      <c r="E42" s="6" t="n">
        <f aca="false">(( -A42 ) * COS(RADIANS($F$1)) - (B42 - 0) * SIN(RADIANS($F$1))) * $E$1 - ($G$1 * TAN(RADIANS($H$1))) - $J$1</f>
        <v>-808.344407675713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$G$1</f>
        <v>200</v>
      </c>
      <c r="D43" s="6" t="n">
        <f aca="false">(( -A43 ) * SIN(RADIANS($F$1)) + (B43 - 0) * COS(RADIANS($F$1))) * $E$1 + ($G$1 * TAN(RADIANS($I$1))) + $L$1</f>
        <v>37.0918461046309</v>
      </c>
      <c r="E43" s="6" t="n">
        <f aca="false">(( -A43 ) * COS(RADIANS($F$1)) - (B43 - 0) * SIN(RADIANS($F$1))) * $E$1 - ($G$1 * TAN(RADIANS($H$1))) - $J$1</f>
        <v>-804.469842212895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$G$1</f>
        <v>200</v>
      </c>
      <c r="D44" s="6" t="n">
        <f aca="false">(( -A44 ) * SIN(RADIANS($F$1)) + (B44 - 0) * COS(RADIANS($F$1))) * $E$1 + ($G$1 * TAN(RADIANS($I$1))) + $L$1</f>
        <v>36.9784356737042</v>
      </c>
      <c r="E44" s="6" t="n">
        <f aca="false">(( -A44 ) * COS(RADIANS($F$1)) - (B44 - 0) * SIN(RADIANS($F$1))) * $E$1 - ($G$1 * TAN(RADIANS($H$1))) - $J$1</f>
        <v>-800.666883520172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$G$1</f>
        <v>200</v>
      </c>
      <c r="D45" s="6" t="n">
        <f aca="false">(( -A45 ) * SIN(RADIANS($F$1)) + (B45 - 0) * COS(RADIANS($F$1))) * $E$1 + ($G$1 * TAN(RADIANS($I$1))) + $L$1</f>
        <v>36.8302428675351</v>
      </c>
      <c r="E45" s="6" t="n">
        <f aca="false">(( -A45 ) * COS(RADIANS($F$1)) - (B45 - 0) * SIN(RADIANS($F$1))) * $E$1 - ($G$1 * TAN(RADIANS($H$1))) - $J$1</f>
        <v>-796.944407742856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$G$1</f>
        <v>200</v>
      </c>
      <c r="D46" s="6" t="n">
        <f aca="false">(( -A46 ) * SIN(RADIANS($F$1)) + (B46 - 0) * COS(RADIANS($F$1))) * $E$1 + ($G$1 * TAN(RADIANS($I$1))) + $L$1</f>
        <v>36.646556819031</v>
      </c>
      <c r="E46" s="6" t="n">
        <f aca="false">(( -A46 ) * COS(RADIANS($F$1)) - (B46 - 0) * SIN(RADIANS($F$1))) * $E$1 - ($G$1 * TAN(RADIANS($H$1))) - $J$1</f>
        <v>-793.311285093346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$G$1</f>
        <v>200</v>
      </c>
      <c r="D47" s="6" t="n">
        <f aca="false">(( -A47 ) * SIN(RADIANS($F$1)) + (B47 - 0) * COS(RADIANS($F$1))) * $E$1 + ($G$1 * TAN(RADIANS($I$1))) + $L$1</f>
        <v>36.4264848988297</v>
      </c>
      <c r="E47" s="6" t="n">
        <f aca="false">(( -A47 ) * COS(RADIANS($F$1)) - (B47 - 0) * SIN(RADIANS($F$1))) * $E$1 - ($G$1 * TAN(RADIANS($H$1))) - $J$1</f>
        <v>-789.776051924071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$G$1</f>
        <v>200</v>
      </c>
      <c r="D48" s="6" t="n">
        <f aca="false">(( -A48 ) * SIN(RADIANS($F$1)) + (B48 - 0) * COS(RADIANS($F$1))) * $E$1 + ($G$1 * TAN(RADIANS($I$1))) + $L$1</f>
        <v>36.1701419903837</v>
      </c>
      <c r="E48" s="6" t="n">
        <f aca="false">(( -A48 ) * COS(RADIANS($F$1)) - (B48 - 0) * SIN(RADIANS($F$1))) * $E$1 - ($G$1 * TAN(RADIANS($H$1))) - $J$1</f>
        <v>-786.346869197095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$G$1</f>
        <v>200</v>
      </c>
      <c r="D49" s="6" t="n">
        <f aca="false">(( -A49 ) * SIN(RADIANS($F$1)) + (B49 - 0) * COS(RADIANS($F$1))) * $E$1 + ($G$1 * TAN(RADIANS($I$1))) + $L$1</f>
        <v>35.8772972513498</v>
      </c>
      <c r="E49" s="6" t="n">
        <f aca="false">(( -A49 ) * COS(RADIANS($F$1)) - (B49 - 0) * SIN(RADIANS($F$1))) * $E$1 - ($G$1 * TAN(RADIANS($H$1))) - $J$1</f>
        <v>-783.03173984387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$G$1</f>
        <v>200</v>
      </c>
      <c r="D50" s="6" t="n">
        <f aca="false">(( -A50 ) * SIN(RADIANS($F$1)) + (B50 - 0) * COS(RADIANS($F$1))) * $E$1 + ($G$1 * TAN(RADIANS($I$1))) + $L$1</f>
        <v>35.5483934922329</v>
      </c>
      <c r="E50" s="6" t="n">
        <f aca="false">(( -A50 ) * COS(RADIANS($F$1)) - (B50 - 0) * SIN(RADIANS($F$1))) * $E$1 - ($G$1 * TAN(RADIANS($H$1))) - $J$1</f>
        <v>-779.838473167746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$G$1</f>
        <v>200</v>
      </c>
      <c r="D51" s="6" t="n">
        <f aca="false">(( -A51 ) * SIN(RADIANS($F$1)) + (B51 - 0) * COS(RADIANS($F$1))) * $E$1 + ($G$1 * TAN(RADIANS($I$1))) + $L$1</f>
        <v>35.1838616577088</v>
      </c>
      <c r="E51" s="6" t="n">
        <f aca="false">(( -A51 ) * COS(RADIANS($F$1)) - (B51 - 0) * SIN(RADIANS($F$1))) * $E$1 - ($G$1 * TAN(RADIANS($H$1))) - $J$1</f>
        <v>-776.774538679198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$G$1</f>
        <v>200</v>
      </c>
      <c r="D52" s="6" t="n">
        <f aca="false">(( -A52 ) * SIN(RADIANS($F$1)) + (B52 - 0) * COS(RADIANS($F$1))) * $E$1 + ($G$1 * TAN(RADIANS($I$1))) + $L$1</f>
        <v>34.7844665524203</v>
      </c>
      <c r="E52" s="6" t="n">
        <f aca="false">(( -A52 ) * COS(RADIANS($F$1)) - (B52 - 0) * SIN(RADIANS($F$1))) * $E$1 - ($G$1 * TAN(RADIANS($H$1))) - $J$1</f>
        <v>-773.847224126425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$G$1</f>
        <v>200</v>
      </c>
      <c r="D53" s="6" t="n">
        <f aca="false">(( -A53 ) * SIN(RADIANS($F$1)) + (B53 - 0) * COS(RADIANS($F$1))) * $E$1 + ($G$1 * TAN(RADIANS($I$1))) + $L$1</f>
        <v>34.351458938674</v>
      </c>
      <c r="E53" s="6" t="n">
        <f aca="false">(( -A53 ) * COS(RADIANS($F$1)) - (B53 - 0) * SIN(RADIANS($F$1))) * $E$1 - ($G$1 * TAN(RADIANS($H$1))) - $J$1</f>
        <v>-771.063119873126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$G$1</f>
        <v>200</v>
      </c>
      <c r="D54" s="6" t="n">
        <f aca="false">(( -A54 ) * SIN(RADIANS($F$1)) + (B54 - 0) * COS(RADIANS($F$1))) * $E$1 + ($G$1 * TAN(RADIANS($I$1))) + $L$1</f>
        <v>33.8862594752173</v>
      </c>
      <c r="E54" s="6" t="n">
        <f aca="false">(( -A54 ) * COS(RADIANS($F$1)) - (B54 - 0) * SIN(RADIANS($F$1))) * $E$1 - ($G$1 * TAN(RADIANS($H$1))) - $J$1</f>
        <v>-768.428810350083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$G$1</f>
        <v>200</v>
      </c>
      <c r="D55" s="6" t="n">
        <f aca="false">(( -A55 ) * SIN(RADIANS($F$1)) + (B55 - 0) * COS(RADIANS($F$1))) * $E$1 + ($G$1 * TAN(RADIANS($I$1))) + $L$1</f>
        <v>33.390107058528</v>
      </c>
      <c r="E55" s="6" t="n">
        <f aca="false">(( -A55 ) * COS(RADIANS($F$1)) - (B55 - 0) * SIN(RADIANS($F$1))) * $E$1 - ($G$1 * TAN(RADIANS($H$1))) - $J$1</f>
        <v>-765.950546128109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$G$1</f>
        <v>200</v>
      </c>
      <c r="D56" s="6" t="n">
        <f aca="false">(( -A56 ) * SIN(RADIANS($F$1)) + (B56 - 0) * COS(RADIANS($F$1))) * $E$1 + ($G$1 * TAN(RADIANS($I$1))) + $L$1</f>
        <v>32.8648964391884</v>
      </c>
      <c r="E56" s="6" t="n">
        <f aca="false">(( -A56 ) * COS(RADIANS($F$1)) - (B56 - 0) * SIN(RADIANS($F$1))) * $E$1 - ($G$1 * TAN(RADIANS($H$1))) - $J$1</f>
        <v>-763.633874460601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$G$1</f>
        <v>200</v>
      </c>
      <c r="D57" s="6" t="n">
        <f aca="false">(( -A57 ) * SIN(RADIANS($F$1)) + (B57 - 0) * COS(RADIANS($F$1))) * $E$1 + ($G$1 * TAN(RADIANS($I$1))) + $L$1</f>
        <v>32.3125223677811</v>
      </c>
      <c r="E57" s="6" t="n">
        <f aca="false">(( -A57 ) * COS(RADIANS($F$1)) - (B57 - 0) * SIN(RADIANS($F$1))) * $E$1 - ($G$1 * TAN(RADIANS($H$1))) - $J$1</f>
        <v>-761.484342600955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$G$1</f>
        <v>200</v>
      </c>
      <c r="D58" s="6" t="n">
        <f aca="false">(( -A58 ) * SIN(RADIANS($F$1)) + (B58 - 0) * COS(RADIANS($F$1))) * $E$1 + ($G$1 * TAN(RADIANS($I$1))) + $L$1</f>
        <v>31.7348617961451</v>
      </c>
      <c r="E58" s="6" t="n">
        <f aca="false">(( -A58 ) * COS(RADIANS($F$1)) - (B58 - 0) * SIN(RADIANS($F$1))) * $E$1 - ($G$1 * TAN(RADIANS($H$1))) - $J$1</f>
        <v>-759.506988113242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$G$1</f>
        <v>200</v>
      </c>
      <c r="D59" s="6" t="n">
        <f aca="false">(( -A59 ) * SIN(RADIANS($F$1)) + (B59 - 0) * COS(RADIANS($F$1))) * $E$1 + ($G$1 * TAN(RADIANS($I$1))) + $L$1</f>
        <v>31.1341136702575</v>
      </c>
      <c r="E59" s="6" t="n">
        <f aca="false">(( -A59 ) * COS(RADIANS($F$1)) - (B59 - 0) * SIN(RADIANS($F$1))) * $E$1 - ($G$1 * TAN(RADIANS($H$1))) - $J$1</f>
        <v>-757.706327006386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$G$1</f>
        <v>200</v>
      </c>
      <c r="D60" s="6" t="n">
        <f aca="false">(( -A60 ) * SIN(RADIANS($F$1)) + (B60 - 0) * COS(RADIANS($F$1))) * $E$1 + ($G$1 * TAN(RADIANS($I$1))) + $L$1</f>
        <v>30.5122951738257</v>
      </c>
      <c r="E60" s="6" t="n">
        <f aca="false">(( -A60 ) * COS(RADIANS($F$1)) - (B60 - 0) * SIN(RADIANS($F$1))) * $E$1 - ($G$1 * TAN(RADIANS($H$1))) - $J$1</f>
        <v>-756.086541429344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$G$1</f>
        <v>200</v>
      </c>
      <c r="D61" s="6" t="n">
        <f aca="false">(( -A61 ) * SIN(RADIANS($F$1)) + (B61 - 0) * COS(RADIANS($F$1))) * $E$1 + ($G$1 * TAN(RADIANS($I$1))) + $L$1</f>
        <v>29.8714056918139</v>
      </c>
      <c r="E61" s="6" t="n">
        <f aca="false">(( -A61 ) * COS(RADIANS($F$1)) - (B61 - 0) * SIN(RADIANS($F$1))) * $E$1 - ($G$1 * TAN(RADIANS($H$1))) - $J$1</f>
        <v>-754.651303841748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$G$1</f>
        <v>200</v>
      </c>
      <c r="D62" s="6" t="n">
        <f aca="false">(( -A62 ) * SIN(RADIANS($F$1)) + (B62 - 0) * COS(RADIANS($F$1))) * $E$1 + ($G$1 * TAN(RADIANS($I$1))) + $L$1</f>
        <v>29.2134386762719</v>
      </c>
      <c r="E62" s="6" t="n">
        <f aca="false">(( -A62 ) * COS(RADIANS($F$1)) - (B62 - 0) * SIN(RADIANS($F$1))) * $E$1 - ($G$1 * TAN(RADIANS($H$1))) - $J$1</f>
        <v>-753.404116806794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$G$1</f>
        <v>200</v>
      </c>
      <c r="D63" s="6" t="n">
        <f aca="false">(( -A63 ) * SIN(RADIANS($F$1)) + (B63 - 0) * COS(RADIANS($F$1))) * $E$1 + ($G$1 * TAN(RADIANS($I$1))) + $L$1</f>
        <v>28.5401939511511</v>
      </c>
      <c r="E63" s="6" t="n">
        <f aca="false">(( -A63 ) * COS(RADIANS($F$1)) - (B63 - 0) * SIN(RADIANS($F$1))) * $E$1 - ($G$1 * TAN(RADIANS($H$1))) - $J$1</f>
        <v>-752.347809234826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$G$1</f>
        <v>200</v>
      </c>
      <c r="D64" s="6" t="n">
        <f aca="false">(( -A64 ) * SIN(RADIANS($F$1)) + (B64 - 0) * COS(RADIANS($F$1))) * $E$1 + ($G$1 * TAN(RADIANS($I$1))) + $L$1</f>
        <v>27.8536293710146</v>
      </c>
      <c r="E64" s="6" t="n">
        <f aca="false">(( -A64 ) * COS(RADIANS($F$1)) - (B64 - 0) * SIN(RADIANS($F$1))) * $E$1 - ($G$1 * TAN(RADIANS($H$1))) - $J$1</f>
        <v>-751.484864310394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$G$1</f>
        <v>200</v>
      </c>
      <c r="D65" s="6" t="n">
        <f aca="false">(( -A65 ) * SIN(RADIANS($F$1)) + (B65 - 0) * COS(RADIANS($F$1))) * $E$1 + ($G$1 * TAN(RADIANS($I$1))) + $L$1</f>
        <v>27.1550054059198</v>
      </c>
      <c r="E65" s="6" t="n">
        <f aca="false">(( -A65 ) * COS(RADIANS($F$1)) - (B65 - 0) * SIN(RADIANS($F$1))) * $E$1 - ($G$1 * TAN(RADIANS($H$1))) - $J$1</f>
        <v>-750.817279260386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$G$1</f>
        <v>200</v>
      </c>
      <c r="D66" s="6" t="n">
        <f aca="false">(( -A66 ) * SIN(RADIANS($F$1)) + (B66 - 0) * COS(RADIANS($F$1))) * $E$1 + ($G$1 * TAN(RADIANS($I$1))) + $L$1</f>
        <v>26.4459045200621</v>
      </c>
      <c r="E66" s="6" t="n">
        <f aca="false">(( -A66 ) * COS(RADIANS($F$1)) - (B66 - 0) * SIN(RADIANS($F$1))) * $E$1 - ($G$1 * TAN(RADIANS($H$1))) - $J$1</f>
        <v>-750.346529756535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$G$1</f>
        <v>200</v>
      </c>
      <c r="D67" s="6" t="n">
        <f aca="false">(( -A67 ) * SIN(RADIANS($F$1)) + (B67 - 0) * COS(RADIANS($F$1))) * $E$1 + ($G$1 * TAN(RADIANS($I$1))) + $L$1</f>
        <v>25.7272236589599</v>
      </c>
      <c r="E67" s="6" t="n">
        <f aca="false">(( -A67 ) * COS(RADIANS($F$1)) - (B67 - 0) * SIN(RADIANS($F$1))) * $E$1 - ($G$1 * TAN(RADIANS($H$1))) - $J$1</f>
        <v>-750.073945305795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$G$1</f>
        <v>200</v>
      </c>
      <c r="D68" s="6" t="n">
        <f aca="false">(( -A68 ) * SIN(RADIANS($F$1)) + (B68 - 0) * COS(RADIANS($F$1))) * $E$1 + ($G$1 * TAN(RADIANS($I$1))) + $L$1</f>
        <v>25</v>
      </c>
      <c r="E68" s="6" t="n">
        <f aca="false">(( -A68 ) * COS(RADIANS($F$1)) - (B68 - 0) * SIN(RADIANS($F$1))) * $E$1 - ($G$1 * TAN(RADIANS($H$1))) - $J$1</f>
        <v>-750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$G$1</f>
        <v>200</v>
      </c>
      <c r="D69" s="6" t="n">
        <f aca="false">(( -A69 ) * SIN(RADIANS($F$1)) + (B69 - 0) * COS(RADIANS($F$1))) * $E$1 + ($G$1 * TAN(RADIANS($I$1))) + $L$1</f>
        <v>24.2797059851054</v>
      </c>
      <c r="E69" s="6" t="n">
        <f aca="false">(( -A69 ) * COS(RADIANS($F$1)) - (B69 - 0) * SIN(RADIANS($F$1))) * $E$1 - ($G$1 * TAN(RADIANS($H$1))) - $J$1</f>
        <v>-750.124493736818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$G$1</f>
        <v>200</v>
      </c>
      <c r="D70" s="6" t="n">
        <f aca="false">(( -A70 ) * SIN(RADIANS($F$1)) + (B70 - 0) * COS(RADIANS($F$1))) * $E$1 + ($G$1 * TAN(RADIANS($I$1))) + $L$1</f>
        <v>23.5817903245411</v>
      </c>
      <c r="E70" s="6" t="n">
        <f aca="false">(( -A70 ) * COS(RADIANS($F$1)) - (B70 - 0) * SIN(RADIANS($F$1))) * $E$1 - ($G$1 * TAN(RADIANS($H$1))) - $J$1</f>
        <v>-750.446546828155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$G$1</f>
        <v>200</v>
      </c>
      <c r="D71" s="6" t="n">
        <f aca="false">(( -A71 ) * SIN(RADIANS($F$1)) + (B71 - 0) * COS(RADIANS($F$1))) * $E$1 + ($G$1 * TAN(RADIANS($I$1))) + $L$1</f>
        <v>22.9072545982075</v>
      </c>
      <c r="E71" s="6" t="n">
        <f aca="false">(( -A71 ) * COS(RADIANS($F$1)) - (B71 - 0) * SIN(RADIANS($F$1))) * $E$1 - ($G$1 * TAN(RADIANS($H$1))) - $J$1</f>
        <v>-750.9656139872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$G$1</f>
        <v>200</v>
      </c>
      <c r="D72" s="6" t="n">
        <f aca="false">(( -A72 ) * SIN(RADIANS($F$1)) + (B72 - 0) * COS(RADIANS($F$1))) * $E$1 + ($G$1 * TAN(RADIANS($I$1))) + $L$1</f>
        <v>22.2569008249919</v>
      </c>
      <c r="E72" s="6" t="n">
        <f aca="false">(( -A72 ) * COS(RADIANS($F$1)) - (B72 - 0) * SIN(RADIANS($F$1))) * $E$1 - ($G$1 * TAN(RADIANS($H$1))) - $J$1</f>
        <v>-751.680306377858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$G$1</f>
        <v>200</v>
      </c>
      <c r="D73" s="6" t="n">
        <f aca="false">(( -A73 ) * SIN(RADIANS($F$1)) + (B73 - 0) * COS(RADIANS($F$1))) * $E$1 + ($G$1 * TAN(RADIANS($I$1))) + $L$1</f>
        <v>21.6322046766297</v>
      </c>
      <c r="E73" s="6" t="n">
        <f aca="false">(( -A73 ) * COS(RADIANS($F$1)) - (B73 - 0) * SIN(RADIANS($F$1))) * $E$1 - ($G$1 * TAN(RADIANS($H$1))) - $J$1</f>
        <v>-752.589041535933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$G$1</f>
        <v>200</v>
      </c>
      <c r="D74" s="6" t="n">
        <f aca="false">(( -A74 ) * SIN(RADIANS($F$1)) + (B74 - 0) * COS(RADIANS($F$1))) * $E$1 + ($G$1 * TAN(RADIANS($I$1))) + $L$1</f>
        <v>21.0342842332318</v>
      </c>
      <c r="E74" s="6" t="n">
        <f aca="false">(( -A74 ) * COS(RADIANS($F$1)) - (B74 - 0) * SIN(RADIANS($F$1))) * $E$1 - ($G$1 * TAN(RADIANS($H$1))) - $J$1</f>
        <v>-753.689739173737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$G$1</f>
        <v>200</v>
      </c>
      <c r="D75" s="6" t="n">
        <f aca="false">(( -A75 ) * SIN(RADIANS($F$1)) + (B75 - 0) * COS(RADIANS($F$1))) * $E$1 + ($G$1 * TAN(RADIANS($I$1))) + $L$1</f>
        <v>20.4649193619282</v>
      </c>
      <c r="E75" s="6" t="n">
        <f aca="false">(( -A75 ) * COS(RADIANS($F$1)) - (B75 - 0) * SIN(RADIANS($F$1))) * $E$1 - ($G$1 * TAN(RADIANS($H$1))) - $J$1</f>
        <v>-754.979785582602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$G$1</f>
        <v>200</v>
      </c>
      <c r="D76" s="6" t="n">
        <f aca="false">(( -A76 ) * SIN(RADIANS($F$1)) + (B76 - 0) * COS(RADIANS($F$1))) * $E$1 + ($G$1 * TAN(RADIANS($I$1))) + $L$1</f>
        <v>19.9257081675793</v>
      </c>
      <c r="E76" s="6" t="n">
        <f aca="false">(( -A76 ) * COS(RADIANS($F$1)) - (B76 - 0) * SIN(RADIANS($F$1))) * $E$1 - ($G$1 * TAN(RADIANS($H$1))) - $J$1</f>
        <v>-756.456233193893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$G$1</f>
        <v>200</v>
      </c>
      <c r="D77" s="6" t="n">
        <f aca="false">(( -A77 ) * SIN(RADIANS($F$1)) + (B77 - 0) * COS(RADIANS($F$1))) * $E$1 + ($G$1 * TAN(RADIANS($I$1))) + $L$1</f>
        <v>19.4183949198284</v>
      </c>
      <c r="E77" s="6" t="n">
        <f aca="false">(( -A77 ) * COS(RADIANS($F$1)) - (B77 - 0) * SIN(RADIANS($F$1))) * $E$1 - ($G$1 * TAN(RADIANS($H$1))) - $J$1</f>
        <v>-758.1154489203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$G$1</f>
        <v>200</v>
      </c>
      <c r="D78" s="6" t="n">
        <f aca="false">(( -A78 ) * SIN(RADIANS($F$1)) + (B78 - 0) * COS(RADIANS($F$1))) * $E$1 + ($G$1 * TAN(RADIANS($I$1))) + $L$1</f>
        <v>18.9447179554044</v>
      </c>
      <c r="E78" s="6" t="n">
        <f aca="false">(( -A78 ) * COS(RADIANS($F$1)) - (B78 - 0) * SIN(RADIANS($F$1))) * $E$1 - ($G$1 * TAN(RADIANS($H$1))) - $J$1</f>
        <v>-759.953629778071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$G$1</f>
        <v>200</v>
      </c>
      <c r="D79" s="6" t="n">
        <f aca="false">(( -A79 ) * SIN(RADIANS($F$1)) + (B79 - 0) * COS(RADIANS($F$1))) * $E$1 + ($G$1 * TAN(RADIANS($I$1))) + $L$1</f>
        <v>18.5063978122927</v>
      </c>
      <c r="E79" s="6" t="n">
        <f aca="false">(( -A79 ) * COS(RADIANS($F$1)) - (B79 - 0) * SIN(RADIANS($F$1))) * $E$1 - ($G$1 * TAN(RADIANS($H$1))) - $J$1</f>
        <v>-761.966463094131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$G$1</f>
        <v>200</v>
      </c>
      <c r="D80" s="6" t="n">
        <f aca="false">(( -A80 ) * SIN(RADIANS($F$1)) + (B80 - 0) * COS(RADIANS($F$1))) * $E$1 + ($G$1 * TAN(RADIANS($I$1))) + $L$1</f>
        <v>18.1053130590908</v>
      </c>
      <c r="E80" s="6" t="n">
        <f aca="false">(( -A80 ) * COS(RADIANS($F$1)) - (B80 - 0) * SIN(RADIANS($F$1))) * $E$1 - ($G$1 * TAN(RADIANS($H$1))) - $J$1</f>
        <v>-764.149290469612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$G$1</f>
        <v>200</v>
      </c>
      <c r="D81" s="6" t="n">
        <f aca="false">(( -A81 ) * SIN(RADIANS($F$1)) + (B81 - 0) * COS(RADIANS($F$1))) * $E$1 + ($G$1 * TAN(RADIANS($I$1))) + $L$1</f>
        <v>17.7429846727712</v>
      </c>
      <c r="E81" s="6" t="n">
        <f aca="false">(( -A81 ) * COS(RADIANS($F$1)) - (B81 - 0) * SIN(RADIANS($F$1))) * $E$1 - ($G$1 * TAN(RADIANS($H$1))) - $J$1</f>
        <v>-766.496955682151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$G$1</f>
        <v>200</v>
      </c>
      <c r="D82" s="6" t="n">
        <f aca="false">(( -A82 ) * SIN(RADIANS($F$1)) + (B82 - 0) * COS(RADIANS($F$1))) * $E$1 + ($G$1 * TAN(RADIANS($I$1))) + $L$1</f>
        <v>17.4209158315635</v>
      </c>
      <c r="E82" s="6" t="n">
        <f aca="false">(( -A82 ) * COS(RADIANS($F$1)) - (B82 - 0) * SIN(RADIANS($F$1))) * $E$1 - ($G$1 * TAN(RADIANS($H$1))) - $J$1</f>
        <v>-769.003792820065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$G$1</f>
        <v>200</v>
      </c>
      <c r="D83" s="6" t="n">
        <f aca="false">(( -A83 ) * SIN(RADIANS($F$1)) + (B83 - 0) * COS(RADIANS($F$1))) * $E$1 + ($G$1 * TAN(RADIANS($I$1))) + $L$1</f>
        <v>17.140609713697</v>
      </c>
      <c r="E83" s="6" t="n">
        <f aca="false">(( -A83 ) * COS(RADIANS($F$1)) - (B83 - 0) * SIN(RADIANS($F$1))) * $E$1 - ($G$1 * TAN(RADIANS($H$1))) - $J$1</f>
        <v>-771.664135971669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$G$1</f>
        <v>200</v>
      </c>
      <c r="D84" s="6" t="n">
        <f aca="false">(( -A84 ) * SIN(RADIANS($F$1)) + (B84 - 0) * COS(RADIANS($F$1))) * $E$1 + ($G$1 * TAN(RADIANS($I$1))) + $L$1</f>
        <v>16.9028661799811</v>
      </c>
      <c r="E84" s="6" t="n">
        <f aca="false">(( -A84 ) * COS(RADIANS($F$1)) - (B84 - 0) * SIN(RADIANS($F$1))) * $E$1 - ($G$1 * TAN(RADIANS($H$1))) - $J$1</f>
        <v>-774.471663371175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$G$1</f>
        <v>200</v>
      </c>
      <c r="D85" s="6" t="n">
        <f aca="false">(( -A85 ) * SIN(RADIANS($F$1)) + (B85 - 0) * COS(RADIANS($F$1))) * $E$1 + ($G$1 * TAN(RADIANS($I$1))) + $L$1</f>
        <v>16.7086431218368</v>
      </c>
      <c r="E85" s="6" t="n">
        <f aca="false">(( -A85 ) * COS(RADIANS($F$1)) - (B85 - 0) * SIN(RADIANS($F$1))) * $E$1 - ($G$1 * TAN(RADIANS($H$1))) - $J$1</f>
        <v>-777.419707526998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$G$1</f>
        <v>200</v>
      </c>
      <c r="D86" s="6" t="n">
        <f aca="false">(( -A86 ) * SIN(RADIANS($F$1)) + (B86 - 0) * COS(RADIANS($F$1))) * $E$1 + ($G$1 * TAN(RADIANS($I$1))) + $L$1</f>
        <v>16.5587285342445</v>
      </c>
      <c r="E86" s="6" t="n">
        <f aca="false">(( -A86 ) * COS(RADIANS($F$1)) - (B86 - 0) * SIN(RADIANS($F$1))) * $E$1 - ($G$1 * TAN(RADIANS($H$1))) - $J$1</f>
        <v>-780.50160688047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$G$1</f>
        <v>200</v>
      </c>
      <c r="D87" s="6" t="n">
        <f aca="false">(( -A87 ) * SIN(RADIANS($F$1)) + (B87 - 0) * COS(RADIANS($F$1))) * $E$1 + ($G$1 * TAN(RADIANS($I$1))) + $L$1</f>
        <v>16.4533769912051</v>
      </c>
      <c r="E87" s="6" t="n">
        <f aca="false">(( -A87 ) * COS(RADIANS($F$1)) - (B87 - 0) * SIN(RADIANS($F$1))) * $E$1 - ($G$1 * TAN(RADIANS($H$1))) - $J$1</f>
        <v>-783.7100380859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$G$1</f>
        <v>200</v>
      </c>
      <c r="D88" s="6" t="n">
        <f aca="false">(( -A88 ) * SIN(RADIANS($F$1)) + (B88 - 0) * COS(RADIANS($F$1))) * $E$1 + ($G$1 * TAN(RADIANS($I$1))) + $L$1</f>
        <v>16.3924973409239</v>
      </c>
      <c r="E88" s="6" t="n">
        <f aca="false">(( -A88 ) * COS(RADIANS($F$1)) - (B88 - 0) * SIN(RADIANS($F$1))) * $E$1 - ($G$1 * TAN(RADIANS($H$1))) - $J$1</f>
        <v>-787.037519766989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$G$1</f>
        <v>200</v>
      </c>
      <c r="D89" s="6" t="n">
        <f aca="false">(( -A89 ) * SIN(RADIANS($F$1)) + (B89 - 0) * COS(RADIANS($F$1))) * $E$1 + ($G$1 * TAN(RADIANS($I$1))) + $L$1</f>
        <v>16.3759865657772</v>
      </c>
      <c r="E89" s="6" t="n">
        <f aca="false">(( -A89 ) * COS(RADIANS($F$1)) - (B89 - 0) * SIN(RADIANS($F$1))) * $E$1 - ($G$1 * TAN(RADIANS($H$1))) - $J$1</f>
        <v>-790.476230754555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$G$1</f>
        <v>200</v>
      </c>
      <c r="D90" s="6" t="n">
        <f aca="false">(( -A90 ) * SIN(RADIANS($F$1)) + (B90 - 0) * COS(RADIANS($F$1))) * $E$1 + ($G$1 * TAN(RADIANS($I$1))) + $L$1</f>
        <v>16.4030561294645</v>
      </c>
      <c r="E90" s="6" t="n">
        <f aca="false">(( -A90 ) * COS(RADIANS($F$1)) - (B90 - 0) * SIN(RADIANS($F$1))) * $E$1 - ($G$1 * TAN(RADIANS($H$1))) - $J$1</f>
        <v>-794.018203714632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$G$1</f>
        <v>200</v>
      </c>
      <c r="D91" s="6" t="n">
        <f aca="false">(( -A91 ) * SIN(RADIANS($F$1)) + (B91 - 0) * COS(RADIANS($F$1))) * $E$1 + ($G$1 * TAN(RADIANS($I$1))) + $L$1</f>
        <v>16.4732513556523</v>
      </c>
      <c r="E91" s="6" t="n">
        <f aca="false">(( -A91 ) * COS(RADIANS($F$1)) - (B91 - 0) * SIN(RADIANS($F$1))) * $E$1 - ($G$1 * TAN(RADIANS($H$1))) - $J$1</f>
        <v>-797.655289550988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$G$1</f>
        <v>200</v>
      </c>
      <c r="D92" s="6" t="n">
        <f aca="false">(( -A92 ) * SIN(RADIANS($F$1)) + (B92 - 0) * COS(RADIANS($F$1))) * $E$1 + ($G$1 * TAN(RADIANS($I$1))) + $L$1</f>
        <v>16.5850863235344</v>
      </c>
      <c r="E92" s="6" t="n">
        <f aca="false">(( -A92 ) * COS(RADIANS($F$1)) - (B92 - 0) * SIN(RADIANS($F$1))) * $E$1 - ($G$1 * TAN(RADIANS($H$1))) - $J$1</f>
        <v>-801.379034971994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$G$1</f>
        <v>200</v>
      </c>
      <c r="D93" s="6" t="n">
        <f aca="false">(( -A93 ) * SIN(RADIANS($F$1)) + (B93 - 0) * COS(RADIANS($F$1))) * $E$1 + ($G$1 * TAN(RADIANS($I$1))) + $L$1</f>
        <v>16.7372331429164</v>
      </c>
      <c r="E93" s="6" t="n">
        <f aca="false">(( -A93 ) * COS(RADIANS($F$1)) - (B93 - 0) * SIN(RADIANS($F$1))) * $E$1 - ($G$1 * TAN(RADIANS($H$1))) - $J$1</f>
        <v>-805.180640960224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$G$1</f>
        <v>200</v>
      </c>
      <c r="D94" s="6" t="n">
        <f aca="false">(( -A94 ) * SIN(RADIANS($F$1)) + (B94 - 0) * COS(RADIANS($F$1))) * $E$1 + ($G$1 * TAN(RADIANS($I$1))) + $L$1</f>
        <v>16.9281940271632</v>
      </c>
      <c r="E94" s="6" t="n">
        <f aca="false">(( -A94 ) * COS(RADIANS($F$1)) - (B94 - 0) * SIN(RADIANS($F$1))) * $E$1 - ($G$1 * TAN(RADIANS($H$1))) - $J$1</f>
        <v>-809.051314431171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$G$1</f>
        <v>200</v>
      </c>
      <c r="D95" s="6" t="n">
        <f aca="false">(( -A95 ) * SIN(RADIANS($F$1)) + (B95 - 0) * COS(RADIANS($F$1))) * $E$1 + ($G$1 * TAN(RADIANS($I$1))) + $L$1</f>
        <v>17.1561195309299</v>
      </c>
      <c r="E95" s="6" t="n">
        <f aca="false">(( -A95 ) * COS(RADIANS($F$1)) - (B95 - 0) * SIN(RADIANS($F$1))) * $E$1 - ($G$1 * TAN(RADIANS($H$1))) - $J$1</f>
        <v>-812.98193437327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$G$1</f>
        <v>200</v>
      </c>
      <c r="D96" s="6" t="n">
        <f aca="false">(( -A96 ) * SIN(RADIANS($F$1)) + (B96 - 0) * COS(RADIANS($F$1))) * $E$1 + ($G$1 * TAN(RADIANS($I$1))) + $L$1</f>
        <v>17.4190021782596</v>
      </c>
      <c r="E96" s="6" t="n">
        <f aca="false">(( -A96 ) * COS(RADIANS($F$1)) - (B96 - 0) * SIN(RADIANS($F$1))) * $E$1 - ($G$1 * TAN(RADIANS($H$1))) - $J$1</f>
        <v>-816.963725500757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$G$1</f>
        <v>200</v>
      </c>
      <c r="D97" s="6" t="n">
        <f aca="false">(( -A97 ) * SIN(RADIANS($F$1)) + (B97 - 0) * COS(RADIANS($F$1))) * $E$1 + ($G$1 * TAN(RADIANS($I$1))) + $L$1</f>
        <v>17.7144709686565</v>
      </c>
      <c r="E97" s="6" t="n">
        <f aca="false">(( -A97 ) * COS(RADIANS($F$1)) - (B97 - 0) * SIN(RADIANS($F$1))) * $E$1 - ($G$1 * TAN(RADIANS($H$1))) - $J$1</f>
        <v>-820.987244807931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$G$1</f>
        <v>200</v>
      </c>
      <c r="D98" s="6" t="n">
        <f aca="false">(( -A98 ) * SIN(RADIANS($F$1)) + (B98 - 0) * COS(RADIANS($F$1))) * $E$1 + ($G$1 * TAN(RADIANS($I$1))) + $L$1</f>
        <v>18.0403247980657</v>
      </c>
      <c r="E98" s="6" t="n">
        <f aca="false">(( -A98 ) * COS(RADIANS($F$1)) - (B98 - 0) * SIN(RADIANS($F$1))) * $E$1 - ($G$1 * TAN(RADIANS($H$1))) - $J$1</f>
        <v>-825.043043356178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$G$1</f>
        <v>200</v>
      </c>
      <c r="D99" s="6" t="n">
        <f aca="false">(( -A99 ) * SIN(RADIANS($F$1)) + (B99 - 0) * COS(RADIANS($F$1))) * $E$1 + ($G$1 * TAN(RADIANS($I$1))) + $L$1</f>
        <v>18.3941985989057</v>
      </c>
      <c r="E99" s="6" t="n">
        <f aca="false">(( -A99 ) * COS(RADIANS($F$1)) - (B99 - 0) * SIN(RADIANS($F$1))) * $E$1 - ($G$1 * TAN(RADIANS($H$1))) - $J$1</f>
        <v>-829.121848036238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$G$1</f>
        <v>200</v>
      </c>
      <c r="D100" s="6" t="n">
        <f aca="false">(( -A100 ) * SIN(RADIANS($F$1)) + (B100 - 0) * COS(RADIANS($F$1))) * $E$1 + ($G$1 * TAN(RADIANS($I$1))) + $L$1</f>
        <v>18.7735455413258</v>
      </c>
      <c r="E100" s="6" t="n">
        <f aca="false">(( -A100 ) * COS(RADIANS($F$1)) - (B100 - 0) * SIN(RADIANS($F$1))) * $E$1 - ($G$1 * TAN(RADIANS($H$1))) - $J$1</f>
        <v>-833.214051878885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$G$1</f>
        <v>200</v>
      </c>
      <c r="D101" s="6" t="n">
        <f aca="false">(( -A101 ) * SIN(RADIANS($F$1)) + (B101 - 0) * COS(RADIANS($F$1))) * $E$1 + ($G$1 * TAN(RADIANS($I$1))) + $L$1</f>
        <v>19.1760005577448</v>
      </c>
      <c r="E101" s="6" t="n">
        <f aca="false">(( -A101 ) * COS(RADIANS($F$1)) - (B101 - 0) * SIN(RADIANS($F$1))) * $E$1 - ($G$1 * TAN(RADIANS($H$1))) - $J$1</f>
        <v>-837.31038177486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$G$1</f>
        <v>200</v>
      </c>
      <c r="D102" s="6" t="n">
        <f aca="false">(( -A102 ) * SIN(RADIANS($F$1)) + (B102 - 0) * COS(RADIANS($F$1))) * $E$1 + ($G$1 * TAN(RADIANS($I$1))) + $L$1</f>
        <v>19.5988409889568</v>
      </c>
      <c r="E102" s="6" t="n">
        <f aca="false">(( -A102 ) * COS(RADIANS($F$1)) - (B102 - 0) * SIN(RADIANS($F$1))) * $E$1 - ($G$1 * TAN(RADIANS($H$1))) - $J$1</f>
        <v>-841.401066791411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$G$1</f>
        <v>200</v>
      </c>
      <c r="D103" s="6" t="n">
        <f aca="false">(( -A103 ) * SIN(RADIANS($F$1)) + (B103 - 0) * COS(RADIANS($F$1))) * $E$1 + ($G$1 * TAN(RADIANS($I$1))) + $L$1</f>
        <v>20.03953187094</v>
      </c>
      <c r="E103" s="6" t="n">
        <f aca="false">(( -A103 ) * COS(RADIANS($F$1)) - (B103 - 0) * SIN(RADIANS($F$1))) * $E$1 - ($G$1 * TAN(RADIANS($H$1))) - $J$1</f>
        <v>-845.476839752192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$G$1</f>
        <v>200</v>
      </c>
      <c r="D104" s="6" t="n">
        <f aca="false">(( -A104 ) * SIN(RADIANS($F$1)) + (B104 - 0) * COS(RADIANS($F$1))) * $E$1 + ($G$1 * TAN(RADIANS($I$1))) + $L$1</f>
        <v>20.4957022031986</v>
      </c>
      <c r="E104" s="6" t="n">
        <f aca="false">(( -A104 ) * COS(RADIANS($F$1)) - (B104 - 0) * SIN(RADIANS($F$1))) * $E$1 - ($G$1 * TAN(RADIANS($H$1))) - $J$1</f>
        <v>-849.528257651504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$G$1</f>
        <v>200</v>
      </c>
      <c r="D105" s="6" t="n">
        <f aca="false">(( -A105 ) * SIN(RADIANS($F$1)) + (B105 - 0) * COS(RADIANS($F$1))) * $E$1 + ($G$1 * TAN(RADIANS($I$1))) + $L$1</f>
        <v>20.9646293265268</v>
      </c>
      <c r="E105" s="6" t="n">
        <f aca="false">(( -A105 ) * COS(RADIANS($F$1)) - (B105 - 0) * SIN(RADIANS($F$1))) * $E$1 - ($G$1 * TAN(RADIANS($H$1))) - $J$1</f>
        <v>-853.545549556595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$G$1</f>
        <v>200</v>
      </c>
      <c r="D106" s="6" t="n">
        <f aca="false">(( -A106 ) * SIN(RADIANS($F$1)) + (B106 - 0) * COS(RADIANS($F$1))) * $E$1 + ($G$1 * TAN(RADIANS($I$1))) + $L$1</f>
        <v>21.4439600391723</v>
      </c>
      <c r="E106" s="6" t="n">
        <f aca="false">(( -A106 ) * COS(RADIANS($F$1)) - (B106 - 0) * SIN(RADIANS($F$1))) * $E$1 - ($G$1 * TAN(RADIANS($H$1))) - $J$1</f>
        <v>-857.519782151086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$G$1</f>
        <v>200</v>
      </c>
      <c r="D107" s="6" t="n">
        <f aca="false">(( -A107 ) * SIN(RADIANS($F$1)) + (B107 - 0) * COS(RADIANS($F$1))) * $E$1 + ($G$1 * TAN(RADIANS($I$1))) + $L$1</f>
        <v>21.9314932370799</v>
      </c>
      <c r="E107" s="6" t="n">
        <f aca="false">(( -A107 ) * COS(RADIANS($F$1)) - (B107 - 0) * SIN(RADIANS($F$1))) * $E$1 - ($G$1 * TAN(RADIANS($H$1))) - $J$1</f>
        <v>-861.441506496363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$G$1</f>
        <v>200</v>
      </c>
      <c r="D108" s="6" t="n">
        <f aca="false">(( -A108 ) * SIN(RADIANS($F$1)) + (B108 - 0) * COS(RADIANS($F$1))) * $E$1 + ($G$1 * TAN(RADIANS($I$1))) + $L$1</f>
        <v>22.4245299927015</v>
      </c>
      <c r="E108" s="6" t="n">
        <f aca="false">(( -A108 ) * COS(RADIANS($F$1)) - (B108 - 0) * SIN(RADIANS($F$1))) * $E$1 - ($G$1 * TAN(RADIANS($H$1))) - $J$1</f>
        <v>-865.301631245436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$G$1</f>
        <v>200</v>
      </c>
      <c r="D109" s="6" t="n">
        <f aca="false">(( -A109 ) * SIN(RADIANS($F$1)) + (B109 - 0) * COS(RADIANS($F$1))) * $E$1 + ($G$1 * TAN(RADIANS($I$1))) + $L$1</f>
        <v>22.9210509642515</v>
      </c>
      <c r="E109" s="6" t="n">
        <f aca="false">(( -A109 ) * COS(RADIANS($F$1)) - (B109 - 0) * SIN(RADIANS($F$1))) * $E$1 - ($G$1 * TAN(RADIANS($H$1))) - $J$1</f>
        <v>-869.091041319658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$G$1</f>
        <v>200</v>
      </c>
      <c r="D110" s="6" t="n">
        <f aca="false">(( -A110 ) * SIN(RADIANS($F$1)) + (B110 - 0) * COS(RADIANS($F$1))) * $E$1 + ($G$1 * TAN(RADIANS($I$1))) + $L$1</f>
        <v>23.4187207487209</v>
      </c>
      <c r="E110" s="6" t="n">
        <f aca="false">(( -A110 ) * COS(RADIANS($F$1)) - (B110 - 0) * SIN(RADIANS($F$1))) * $E$1 - ($G$1 * TAN(RADIANS($H$1))) - $J$1</f>
        <v>-872.801313091971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$G$1</f>
        <v>200</v>
      </c>
      <c r="D111" s="6" t="n">
        <f aca="false">(( -A111 ) * SIN(RADIANS($F$1)) + (B111 - 0) * COS(RADIANS($F$1))) * $E$1 + ($G$1 * TAN(RADIANS($I$1))) + $L$1</f>
        <v>23.9155259372383</v>
      </c>
      <c r="E111" s="6" t="n">
        <f aca="false">(( -A111 ) * COS(RADIANS($F$1)) - (B111 - 0) * SIN(RADIANS($F$1))) * $E$1 - ($G$1 * TAN(RADIANS($H$1))) - $J$1</f>
        <v>-876.42350138017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$G$1</f>
        <v>200</v>
      </c>
      <c r="D112" s="6" t="n">
        <f aca="false">(( -A112 ) * SIN(RADIANS($F$1)) + (B112 - 0) * COS(RADIANS($F$1))) * $E$1 + ($G$1 * TAN(RADIANS($I$1))) + $L$1</f>
        <v>24.4089612303542</v>
      </c>
      <c r="E112" s="6" t="n">
        <f aca="false">(( -A112 ) * COS(RADIANS($F$1)) - (B112 - 0) * SIN(RADIANS($F$1))) * $E$1 - ($G$1 * TAN(RADIANS($H$1))) - $J$1</f>
        <v>-879.949188490111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$G$1</f>
        <v>200</v>
      </c>
      <c r="D113" s="6" t="n">
        <f aca="false">(( -A113 ) * SIN(RADIANS($F$1)) + (B113 - 0) * COS(RADIANS($F$1))) * $E$1 + ($G$1 * TAN(RADIANS($I$1))) + $L$1</f>
        <v>24.8973826766506</v>
      </c>
      <c r="E113" s="6" t="n">
        <f aca="false">(( -A113 ) * COS(RADIANS($F$1)) - (B113 - 0) * SIN(RADIANS($F$1))) * $E$1 - ($G$1 * TAN(RADIANS($H$1))) - $J$1</f>
        <v>-883.370266855962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$G$1</f>
        <v>200</v>
      </c>
      <c r="D114" s="6" t="n">
        <f aca="false">(( -A114 ) * SIN(RADIANS($F$1)) + (B114 - 0) * COS(RADIANS($F$1))) * $E$1 + ($G$1 * TAN(RADIANS($I$1))) + $L$1</f>
        <v>25.3784726718618</v>
      </c>
      <c r="E114" s="6" t="n">
        <f aca="false">(( -A114 ) * COS(RADIANS($F$1)) - (B114 - 0) * SIN(RADIANS($F$1))) * $E$1 - ($G$1 * TAN(RADIANS($H$1))) - $J$1</f>
        <v>-886.67882253999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$G$1</f>
        <v>200</v>
      </c>
      <c r="D115" s="6" t="n">
        <f aca="false">(( -A115 ) * SIN(RADIANS($F$1)) + (B115 - 0) * COS(RADIANS($F$1))) * $E$1 + ($G$1 * TAN(RADIANS($I$1))) + $L$1</f>
        <v>25.8504292339582</v>
      </c>
      <c r="E115" s="6" t="n">
        <f aca="false">(( -A115 ) * COS(RADIANS($F$1)) - (B115 - 0) * SIN(RADIANS($F$1))) * $E$1 - ($G$1 * TAN(RADIANS($H$1))) - $J$1</f>
        <v>-889.867093702155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$G$1</f>
        <v>200</v>
      </c>
      <c r="D116" s="6" t="n">
        <f aca="false">(( -A116 ) * SIN(RADIANS($F$1)) + (B116 - 0) * COS(RADIANS($F$1))) * $E$1 + ($G$1 * TAN(RADIANS($I$1))) + $L$1</f>
        <v>26.3109525574175</v>
      </c>
      <c r="E116" s="6" t="n">
        <f aca="false">(( -A116 ) * COS(RADIANS($F$1)) - (B116 - 0) * SIN(RADIANS($F$1))) * $E$1 - ($G$1 * TAN(RADIANS($H$1))) - $J$1</f>
        <v>-892.927676094045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$G$1</f>
        <v>200</v>
      </c>
      <c r="D117" s="6" t="n">
        <f aca="false">(( -A117 ) * SIN(RADIANS($F$1)) + (B117 - 0) * COS(RADIANS($F$1))) * $E$1 + ($G$1 * TAN(RADIANS($I$1))) + $L$1</f>
        <v>26.7584342883083</v>
      </c>
      <c r="E117" s="6" t="n">
        <f aca="false">(( -A117 ) * COS(RADIANS($F$1)) - (B117 - 0) * SIN(RADIANS($F$1))) * $E$1 - ($G$1 * TAN(RADIANS($H$1))) - $J$1</f>
        <v>-895.853481528472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$G$1</f>
        <v>200</v>
      </c>
      <c r="D118" s="6" t="n">
        <f aca="false">(( -A118 ) * SIN(RADIANS($F$1)) + (B118 - 0) * COS(RADIANS($F$1))) * $E$1 + ($G$1 * TAN(RADIANS($I$1))) + $L$1</f>
        <v>27.1907563833778</v>
      </c>
      <c r="E118" s="6" t="n">
        <f aca="false">(( -A118 ) * COS(RADIANS($F$1)) - (B118 - 0) * SIN(RADIANS($F$1))) * $E$1 - ($G$1 * TAN(RADIANS($H$1))) - $J$1</f>
        <v>-898.637439616988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$G$1</f>
        <v>200</v>
      </c>
      <c r="D119" s="6" t="n">
        <f aca="false">(( -A119 ) * SIN(RADIANS($F$1)) + (B119 - 0) * COS(RADIANS($F$1))) * $E$1 + ($G$1 * TAN(RADIANS($I$1))) + $L$1</f>
        <v>27.6060062933</v>
      </c>
      <c r="E119" s="6" t="n">
        <f aca="false">(( -A119 ) * COS(RADIANS($F$1)) - (B119 - 0) * SIN(RADIANS($F$1))) * $E$1 - ($G$1 * TAN(RADIANS($H$1))) - $J$1</f>
        <v>-901.273493416877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$G$1</f>
        <v>200</v>
      </c>
      <c r="D120" s="6" t="n">
        <f aca="false">(( -A120 ) * SIN(RADIANS($F$1)) + (B120 - 0) * COS(RADIANS($F$1))) * $E$1 + ($G$1 * TAN(RADIANS($I$1))) + $L$1</f>
        <v>28.0024354322756</v>
      </c>
      <c r="E120" s="6" t="n">
        <f aca="false">(( -A120 ) * COS(RADIANS($F$1)) - (B120 - 0) * SIN(RADIANS($F$1))) * $E$1 - ($G$1 * TAN(RADIANS($H$1))) - $J$1</f>
        <v>-903.755410156067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$G$1</f>
        <v>200</v>
      </c>
      <c r="D121" s="6" t="n">
        <f aca="false">(( -A121 ) * SIN(RADIANS($F$1)) + (B121 - 0) * COS(RADIANS($F$1))) * $E$1 + ($G$1 * TAN(RADIANS($I$1))) + $L$1</f>
        <v>28.3781312509786</v>
      </c>
      <c r="E121" s="6" t="n">
        <f aca="false">(( -A121 ) * COS(RADIANS($F$1)) - (B121 - 0) * SIN(RADIANS($F$1))) * $E$1 - ($G$1 * TAN(RADIANS($H$1))) - $J$1</f>
        <v>-906.077132891841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$G$1</f>
        <v>200</v>
      </c>
      <c r="D122" s="6" t="n">
        <f aca="false">(( -A122 ) * SIN(RADIANS($F$1)) + (B122 - 0) * COS(RADIANS($F$1))) * $E$1 + ($G$1 * TAN(RADIANS($I$1))) + $L$1</f>
        <v>28.7312167975701</v>
      </c>
      <c r="E122" s="6" t="n">
        <f aca="false">(( -A122 ) * COS(RADIANS($F$1)) - (B122 - 0) * SIN(RADIANS($F$1))) * $E$1 - ($G$1 * TAN(RADIANS($H$1))) - $J$1</f>
        <v>-908.233624060125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$G$1</f>
        <v>200</v>
      </c>
      <c r="D123" s="6" t="n">
        <f aca="false">(( -A123 ) * SIN(RADIANS($F$1)) + (B123 - 0) * COS(RADIANS($F$1))) * $E$1 + ($G$1 * TAN(RADIANS($I$1))) + $L$1</f>
        <v>29.0603188766181</v>
      </c>
      <c r="E123" s="6" t="n">
        <f aca="false">(( -A123 ) * COS(RADIANS($F$1)) - (B123 - 0) * SIN(RADIANS($F$1))) * $E$1 - ($G$1 * TAN(RADIANS($H$1))) - $J$1</f>
        <v>-910.219658401662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$G$1</f>
        <v>200</v>
      </c>
      <c r="D124" s="6" t="n">
        <f aca="false">(( -A124 ) * SIN(RADIANS($F$1)) + (B124 - 0) * COS(RADIANS($F$1))) * $E$1 + ($G$1 * TAN(RADIANS($I$1))) + $L$1</f>
        <v>29.363578335027</v>
      </c>
      <c r="E124" s="6" t="n">
        <f aca="false">(( -A124 ) * COS(RADIANS($F$1)) - (B124 - 0) * SIN(RADIANS($F$1))) * $E$1 - ($G$1 * TAN(RADIANS($H$1))) - $J$1</f>
        <v>-912.030708041702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$G$1</f>
        <v>200</v>
      </c>
      <c r="D125" s="6" t="n">
        <f aca="false">(( -A125 ) * SIN(RADIANS($F$1)) + (B125 - 0) * COS(RADIANS($F$1))) * $E$1 + ($G$1 * TAN(RADIANS($I$1))) + $L$1</f>
        <v>29.639487678411</v>
      </c>
      <c r="E125" s="6" t="n">
        <f aca="false">(( -A125 ) * COS(RADIANS($F$1)) - (B125 - 0) * SIN(RADIANS($F$1))) * $E$1 - ($G$1 * TAN(RADIANS($H$1))) - $J$1</f>
        <v>-913.662573032543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$G$1</f>
        <v>200</v>
      </c>
      <c r="D126" s="6" t="n">
        <f aca="false">(( -A126 ) * SIN(RADIANS($F$1)) + (B126 - 0) * COS(RADIANS($F$1))) * $E$1 + ($G$1 * TAN(RADIANS($I$1))) + $L$1</f>
        <v>29.8865572111276</v>
      </c>
      <c r="E126" s="6" t="n">
        <f aca="false">(( -A126 ) * COS(RADIANS($F$1)) - (B126 - 0) * SIN(RADIANS($F$1))) * $E$1 - ($G$1 * TAN(RADIANS($H$1))) - $J$1</f>
        <v>-915.111563115809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$G$1</f>
        <v>200</v>
      </c>
      <c r="D127" s="6" t="n">
        <f aca="false">(( -A127 ) * SIN(RADIANS($F$1)) + (B127 - 0) * COS(RADIANS($F$1))) * $E$1 + ($G$1 * TAN(RADIANS($I$1))) + $L$1</f>
        <v>30.1036429633301</v>
      </c>
      <c r="E127" s="6" t="n">
        <f aca="false">(( -A127 ) * COS(RADIANS($F$1)) - (B127 - 0) * SIN(RADIANS($F$1))) * $E$1 - ($G$1 * TAN(RADIANS($H$1))) - $J$1</f>
        <v>-916.374146063734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$G$1</f>
        <v>200</v>
      </c>
      <c r="D128" s="6" t="n">
        <f aca="false">(( -A128 ) * SIN(RADIANS($F$1)) + (B128 - 0) * COS(RADIANS($F$1))) * $E$1 + ($G$1 * TAN(RADIANS($I$1))) + $L$1</f>
        <v>30.2894548003889</v>
      </c>
      <c r="E128" s="6" t="n">
        <f aca="false">(( -A128 ) * COS(RADIANS($F$1)) - (B128 - 0) * SIN(RADIANS($F$1))) * $E$1 - ($G$1 * TAN(RADIANS($H$1))) - $J$1</f>
        <v>-917.447475167228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$G$1</f>
        <v>200</v>
      </c>
      <c r="D129" s="6" t="n">
        <f aca="false">(( -A129 ) * SIN(RADIANS($F$1)) + (B129 - 0) * COS(RADIANS($F$1))) * $E$1 + ($G$1 * TAN(RADIANS($I$1))) + $L$1</f>
        <v>30.4427144535032</v>
      </c>
      <c r="E129" s="6" t="n">
        <f aca="false">(( -A129 ) * COS(RADIANS($F$1)) - (B129 - 0) * SIN(RADIANS($F$1))) * $E$1 - ($G$1 * TAN(RADIANS($H$1))) - $J$1</f>
        <v>-918.329043510085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$G$1</f>
        <v>200</v>
      </c>
      <c r="D130" s="6" t="n">
        <f aca="false">(( -A130 ) * SIN(RADIANS($F$1)) + (B130 - 0) * COS(RADIANS($F$1))) * $E$1 + ($G$1 * TAN(RADIANS($I$1))) + $L$1</f>
        <v>30.5630109348186</v>
      </c>
      <c r="E130" s="6" t="n">
        <f aca="false">(( -A130 ) * COS(RADIANS($F$1)) - (B130 - 0) * SIN(RADIANS($F$1))) * $E$1 - ($G$1 * TAN(RADIANS($H$1))) - $J$1</f>
        <v>-919.016824200846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$G$1</f>
        <v>200</v>
      </c>
      <c r="D131" s="6" t="n">
        <f aca="false">(( -A131 ) * SIN(RADIANS($F$1)) + (B131 - 0) * COS(RADIANS($F$1))) * $E$1 + ($G$1 * TAN(RADIANS($I$1))) + $L$1</f>
        <v>30.6494413659021</v>
      </c>
      <c r="E131" s="6" t="n">
        <f aca="false">(( -A131 ) * COS(RADIANS($F$1)) - (B131 - 0) * SIN(RADIANS($F$1))) * $E$1 - ($G$1 * TAN(RADIANS($H$1))) - $J$1</f>
        <v>-919.509317836117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$G$1</f>
        <v>200</v>
      </c>
      <c r="D132" s="6" t="n">
        <f aca="false">(( -A132 ) * SIN(RADIANS($F$1)) + (B132 - 0) * COS(RADIANS($F$1))) * $E$1 + ($G$1 * TAN(RADIANS($I$1))) + $L$1</f>
        <v>30.7014485941164</v>
      </c>
      <c r="E132" s="6" t="n">
        <f aca="false">(( -A132 ) * COS(RADIANS($F$1)) - (B132 - 0) * SIN(RADIANS($F$1))) * $E$1 - ($G$1 * TAN(RADIANS($H$1))) - $J$1</f>
        <v>-919.805183043118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$G$1</f>
        <v>200</v>
      </c>
      <c r="D133" s="6" t="n">
        <f aca="false">(( -A133 ) * SIN(RADIANS($F$1)) + (B133 - 0) * COS(RADIANS($F$1))) * $E$1 + ($G$1 * TAN(RADIANS($I$1))) + $L$1</f>
        <v>30.9329144394252</v>
      </c>
      <c r="E133" s="6" t="n">
        <f aca="false">(( -A133 ) * COS(RADIANS($F$1)) - (B133 - 0) * SIN(RADIANS($F$1))) * $E$1 - ($G$1 * TAN(RADIANS($H$1))) - $J$1</f>
        <v>-919.896440593246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65</v>
      </c>
      <c r="E1" s="4" t="n">
        <v>170</v>
      </c>
      <c r="F1" s="4" t="n">
        <v>0</v>
      </c>
      <c r="G1" s="4" t="n">
        <v>0</v>
      </c>
      <c r="H1" s="4" t="n">
        <v>21.8014095</v>
      </c>
      <c r="J1" s="4" t="n">
        <v>750</v>
      </c>
      <c r="K1" s="4" t="n">
        <v>0</v>
      </c>
      <c r="L1" s="4" t="n">
        <v>25</v>
      </c>
    </row>
    <row r="2" customFormat="false" ht="15" hidden="false" customHeight="tru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J2" s="5" t="s">
        <v>59</v>
      </c>
      <c r="K2" s="5" t="s">
        <v>66</v>
      </c>
      <c r="L2" s="5" t="s">
        <v>60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B3*$E$1</f>
        <v>0</v>
      </c>
      <c r="D3" s="6" t="n">
        <f aca="false">$G$1+$K$1+$L$1</f>
        <v>25</v>
      </c>
      <c r="E3" s="6" t="n">
        <f aca="false">-A3*$E$1-($G$1*TAN(RADIANS($H$1)))-$J$1</f>
        <v>-920</v>
      </c>
      <c r="N3" s="5" t="s">
        <v>61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B4*$E$1</f>
        <v>0.22814</v>
      </c>
      <c r="D4" s="6" t="n">
        <f aca="false">$G$1+$K$1+$L$1</f>
        <v>25</v>
      </c>
      <c r="E4" s="6" t="n">
        <f aca="false">-A4*$E$1-($G$1*TAN(RADIANS($H$1)))-$J$1</f>
        <v>-919.90072</v>
      </c>
      <c r="N4" s="5" t="s">
        <v>62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B5*$E$1</f>
        <v>0.26979</v>
      </c>
      <c r="D5" s="6" t="n">
        <f aca="false">$G$1+$K$1+$L$1</f>
        <v>25</v>
      </c>
      <c r="E5" s="6" t="n">
        <f aca="false">-A5*$E$1-($G$1*TAN(RADIANS($H$1)))-$J$1</f>
        <v>-919.60322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B6*$E$1</f>
        <v>0.33898</v>
      </c>
      <c r="D6" s="6" t="n">
        <f aca="false">$G$1+$K$1+$L$1</f>
        <v>25</v>
      </c>
      <c r="E6" s="6" t="n">
        <f aca="false">-A6*$E$1-($G$1*TAN(RADIANS($H$1)))-$J$1</f>
        <v>-919.10801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B7*$E$1</f>
        <v>0.4352</v>
      </c>
      <c r="D7" s="6" t="n">
        <f aca="false">$G$1+$K$1+$L$1</f>
        <v>25</v>
      </c>
      <c r="E7" s="6" t="n">
        <f aca="false">-A7*$E$1-($G$1*TAN(RADIANS($H$1)))-$J$1</f>
        <v>-918.41645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B8*$E$1</f>
        <v>0.5576</v>
      </c>
      <c r="D8" s="6" t="n">
        <f aca="false">$G$1+$K$1+$L$1</f>
        <v>25</v>
      </c>
      <c r="E8" s="6" t="n">
        <f aca="false">-A8*$E$1-($G$1*TAN(RADIANS($H$1)))-$J$1</f>
        <v>-917.53007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B9*$E$1</f>
        <v>0.70584</v>
      </c>
      <c r="D9" s="6" t="n">
        <f aca="false">$G$1+$K$1+$L$1</f>
        <v>25</v>
      </c>
      <c r="E9" s="6" t="n">
        <f aca="false">-A9*$E$1-($G$1*TAN(RADIANS($H$1)))-$J$1</f>
        <v>-916.45091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B10*$E$1</f>
        <v>0.87873</v>
      </c>
      <c r="D10" s="6" t="n">
        <f aca="false">$G$1+$K$1+$L$1</f>
        <v>25</v>
      </c>
      <c r="E10" s="6" t="n">
        <f aca="false">-A10*$E$1-($G$1*TAN(RADIANS($H$1)))-$J$1</f>
        <v>-915.18152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B11*$E$1</f>
        <v>1.07508</v>
      </c>
      <c r="D11" s="6" t="n">
        <f aca="false">$G$1+$K$1+$L$1</f>
        <v>25</v>
      </c>
      <c r="E11" s="6" t="n">
        <f aca="false">-A11*$E$1-($G$1*TAN(RADIANS($H$1)))-$J$1</f>
        <v>-913.72479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B12*$E$1</f>
        <v>1.29387</v>
      </c>
      <c r="D12" s="6" t="n">
        <f aca="false">$G$1+$K$1+$L$1</f>
        <v>25</v>
      </c>
      <c r="E12" s="6" t="n">
        <f aca="false">-A12*$E$1-($G$1*TAN(RADIANS($H$1)))-$J$1</f>
        <v>-912.08429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B13*$E$1</f>
        <v>1.53374</v>
      </c>
      <c r="D13" s="6" t="n">
        <f aca="false">$G$1+$K$1+$L$1</f>
        <v>25</v>
      </c>
      <c r="E13" s="6" t="n">
        <f aca="false">-A13*$E$1-($G$1*TAN(RADIANS($H$1)))-$J$1</f>
        <v>-910.26376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B14*$E$1</f>
        <v>1.79333</v>
      </c>
      <c r="D14" s="6" t="n">
        <f aca="false">$G$1+$K$1+$L$1</f>
        <v>25</v>
      </c>
      <c r="E14" s="6" t="n">
        <f aca="false">-A14*$E$1-($G$1*TAN(RADIANS($H$1)))-$J$1</f>
        <v>-908.26745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B15*$E$1</f>
        <v>2.07094</v>
      </c>
      <c r="D15" s="6" t="n">
        <f aca="false">$G$1+$K$1+$L$1</f>
        <v>25</v>
      </c>
      <c r="E15" s="6" t="n">
        <f aca="false">-A15*$E$1-($G$1*TAN(RADIANS($H$1)))-$J$1</f>
        <v>-906.09995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B16*$E$1</f>
        <v>2.36538</v>
      </c>
      <c r="D16" s="6" t="n">
        <f aca="false">$G$1+$K$1+$L$1</f>
        <v>25</v>
      </c>
      <c r="E16" s="6" t="n">
        <f aca="false">-A16*$E$1-($G$1*TAN(RADIANS($H$1)))-$J$1</f>
        <v>-903.76653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B17*$E$1</f>
        <v>2.67495</v>
      </c>
      <c r="D17" s="6" t="n">
        <f aca="false">$G$1+$K$1+$L$1</f>
        <v>25</v>
      </c>
      <c r="E17" s="6" t="n">
        <f aca="false">-A17*$E$1-($G$1*TAN(RADIANS($H$1)))-$J$1</f>
        <v>-901.27229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B18*$E$1</f>
        <v>2.99795</v>
      </c>
      <c r="D18" s="6" t="n">
        <f aca="false">$G$1+$K$1+$L$1</f>
        <v>25</v>
      </c>
      <c r="E18" s="6" t="n">
        <f aca="false">-A18*$E$1-($G$1*TAN(RADIANS($H$1)))-$J$1</f>
        <v>-898.62335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B19*$E$1</f>
        <v>3.33285</v>
      </c>
      <c r="D19" s="6" t="n">
        <f aca="false">$G$1+$K$1+$L$1</f>
        <v>25</v>
      </c>
      <c r="E19" s="6" t="n">
        <f aca="false">-A19*$E$1-($G$1*TAN(RADIANS($H$1)))-$J$1</f>
        <v>-895.826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B20*$E$1</f>
        <v>3.67795</v>
      </c>
      <c r="D20" s="6" t="n">
        <f aca="false">$G$1+$K$1+$L$1</f>
        <v>25</v>
      </c>
      <c r="E20" s="6" t="n">
        <f aca="false">-A20*$E$1-($G$1*TAN(RADIANS($H$1)))-$J$1</f>
        <v>-892.88636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B21*$E$1</f>
        <v>4.03138</v>
      </c>
      <c r="D21" s="6" t="n">
        <f aca="false">$G$1+$K$1+$L$1</f>
        <v>25</v>
      </c>
      <c r="E21" s="6" t="n">
        <f aca="false">-A21*$E$1-($G$1*TAN(RADIANS($H$1)))-$J$1</f>
        <v>-889.81157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B22*$E$1</f>
        <v>4.39178</v>
      </c>
      <c r="D22" s="6" t="n">
        <f aca="false">$G$1+$K$1+$L$1</f>
        <v>25</v>
      </c>
      <c r="E22" s="6" t="n">
        <f aca="false">-A22*$E$1-($G$1*TAN(RADIANS($H$1)))-$J$1</f>
        <v>-886.60877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B23*$E$1</f>
        <v>4.75711</v>
      </c>
      <c r="D23" s="6" t="n">
        <f aca="false">$G$1+$K$1+$L$1</f>
        <v>25</v>
      </c>
      <c r="E23" s="6" t="n">
        <f aca="false">-A23*$E$1-($G$1*TAN(RADIANS($H$1)))-$J$1</f>
        <v>-883.28544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B24*$E$1</f>
        <v>5.12584</v>
      </c>
      <c r="D24" s="6" t="n">
        <f aca="false">$G$1+$K$1+$L$1</f>
        <v>25</v>
      </c>
      <c r="E24" s="6" t="n">
        <f aca="false">-A24*$E$1-($G$1*TAN(RADIANS($H$1)))-$J$1</f>
        <v>-879.8494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B25*$E$1</f>
        <v>5.49593</v>
      </c>
      <c r="D25" s="6" t="n">
        <f aca="false">$G$1+$K$1+$L$1</f>
        <v>25</v>
      </c>
      <c r="E25" s="6" t="n">
        <f aca="false">-A25*$E$1-($G$1*TAN(RADIANS($H$1)))-$J$1</f>
        <v>-876.30864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B26*$E$1</f>
        <v>5.86602</v>
      </c>
      <c r="D26" s="6" t="n">
        <f aca="false">$G$1+$K$1+$L$1</f>
        <v>25</v>
      </c>
      <c r="E26" s="6" t="n">
        <f aca="false">-A26*$E$1-($G$1*TAN(RADIANS($H$1)))-$J$1</f>
        <v>-872.67132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B27*$E$1</f>
        <v>6.2339</v>
      </c>
      <c r="D27" s="6" t="n">
        <f aca="false">$G$1+$K$1+$L$1</f>
        <v>25</v>
      </c>
      <c r="E27" s="6" t="n">
        <f aca="false">-A27*$E$1-($G$1*TAN(RADIANS($H$1)))-$J$1</f>
        <v>-868.94594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B28*$E$1</f>
        <v>6.59787</v>
      </c>
      <c r="D28" s="6" t="n">
        <f aca="false">$G$1+$K$1+$L$1</f>
        <v>25</v>
      </c>
      <c r="E28" s="6" t="n">
        <f aca="false">-A28*$E$1-($G$1*TAN(RADIANS($H$1)))-$J$1</f>
        <v>-865.14151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B29*$E$1</f>
        <v>6.95589</v>
      </c>
      <c r="D29" s="6" t="n">
        <f aca="false">$G$1+$K$1+$L$1</f>
        <v>25</v>
      </c>
      <c r="E29" s="6" t="n">
        <f aca="false">-A29*$E$1-($G$1*TAN(RADIANS($H$1)))-$J$1</f>
        <v>-861.26653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B30*$E$1</f>
        <v>7.30626</v>
      </c>
      <c r="D30" s="6" t="n">
        <f aca="false">$G$1+$K$1+$L$1</f>
        <v>25</v>
      </c>
      <c r="E30" s="6" t="n">
        <f aca="false">-A30*$E$1-($G$1*TAN(RADIANS($H$1)))-$J$1</f>
        <v>-857.33018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B31*$E$1</f>
        <v>7.6466</v>
      </c>
      <c r="D31" s="6" t="n">
        <f aca="false">$G$1+$K$1+$L$1</f>
        <v>25</v>
      </c>
      <c r="E31" s="6" t="n">
        <f aca="false">-A31*$E$1-($G$1*TAN(RADIANS($H$1)))-$J$1</f>
        <v>-853.34164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B32*$E$1</f>
        <v>7.97504</v>
      </c>
      <c r="D32" s="6" t="n">
        <f aca="false">$G$1+$K$1+$L$1</f>
        <v>25</v>
      </c>
      <c r="E32" s="6" t="n">
        <f aca="false">-A32*$E$1-($G$1*TAN(RADIANS($H$1)))-$J$1</f>
        <v>-849.31043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B33*$E$1</f>
        <v>8.28954</v>
      </c>
      <c r="D33" s="6" t="n">
        <f aca="false">$G$1+$K$1+$L$1</f>
        <v>25</v>
      </c>
      <c r="E33" s="6" t="n">
        <f aca="false">-A33*$E$1-($G$1*TAN(RADIANS($H$1)))-$J$1</f>
        <v>-845.24556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B34*$E$1</f>
        <v>8.58772</v>
      </c>
      <c r="D34" s="6" t="n">
        <f aca="false">$G$1+$K$1+$L$1</f>
        <v>25</v>
      </c>
      <c r="E34" s="6" t="n">
        <f aca="false">-A34*$E$1-($G$1*TAN(RADIANS($H$1)))-$J$1</f>
        <v>-841.15689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B35*$E$1</f>
        <v>8.86754</v>
      </c>
      <c r="D35" s="6" t="n">
        <f aca="false">$G$1+$K$1+$L$1</f>
        <v>25</v>
      </c>
      <c r="E35" s="6" t="n">
        <f aca="false">-A35*$E$1-($G$1*TAN(RADIANS($H$1)))-$J$1</f>
        <v>-837.05394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B36*$E$1</f>
        <v>9.12679</v>
      </c>
      <c r="D36" s="6" t="n">
        <f aca="false">$G$1+$K$1+$L$1</f>
        <v>25</v>
      </c>
      <c r="E36" s="6" t="n">
        <f aca="false">-A36*$E$1-($G$1*TAN(RADIANS($H$1)))-$J$1</f>
        <v>-832.94606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B37*$E$1</f>
        <v>9.36309</v>
      </c>
      <c r="D37" s="6" t="n">
        <f aca="false">$G$1+$K$1+$L$1</f>
        <v>25</v>
      </c>
      <c r="E37" s="6" t="n">
        <f aca="false">-A37*$E$1-($G$1*TAN(RADIANS($H$1)))-$J$1</f>
        <v>-828.84311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B38*$E$1</f>
        <v>9.5744</v>
      </c>
      <c r="D38" s="6" t="n">
        <f aca="false">$G$1+$K$1+$L$1</f>
        <v>25</v>
      </c>
      <c r="E38" s="6" t="n">
        <f aca="false">-A38*$E$1-($G$1*TAN(RADIANS($H$1)))-$J$1</f>
        <v>-824.75444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B39*$E$1</f>
        <v>9.75851</v>
      </c>
      <c r="D39" s="6" t="n">
        <f aca="false">$G$1+$K$1+$L$1</f>
        <v>25</v>
      </c>
      <c r="E39" s="6" t="n">
        <f aca="false">-A39*$E$1-($G$1*TAN(RADIANS($H$1)))-$J$1</f>
        <v>-820.68974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B40*$E$1</f>
        <v>9.91338</v>
      </c>
      <c r="D40" s="6" t="n">
        <f aca="false">$G$1+$K$1+$L$1</f>
        <v>25</v>
      </c>
      <c r="E40" s="6" t="n">
        <f aca="false">-A40*$E$1-($G$1*TAN(RADIANS($H$1)))-$J$1</f>
        <v>-816.65836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B41*$E$1</f>
        <v>10.03714</v>
      </c>
      <c r="D41" s="6" t="n">
        <f aca="false">$G$1+$K$1+$L$1</f>
        <v>25</v>
      </c>
      <c r="E41" s="6" t="n">
        <f aca="false">-A41*$E$1-($G$1*TAN(RADIANS($H$1)))-$J$1</f>
        <v>-812.66982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B42*$E$1</f>
        <v>10.12775</v>
      </c>
      <c r="D42" s="6" t="n">
        <f aca="false">$G$1+$K$1+$L$1</f>
        <v>25</v>
      </c>
      <c r="E42" s="6" t="n">
        <f aca="false">-A42*$E$1-($G$1*TAN(RADIANS($H$1)))-$J$1</f>
        <v>-808.73364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B43*$E$1</f>
        <v>10.18351</v>
      </c>
      <c r="D43" s="6" t="n">
        <f aca="false">$G$1+$K$1+$L$1</f>
        <v>25</v>
      </c>
      <c r="E43" s="6" t="n">
        <f aca="false">-A43*$E$1-($G$1*TAN(RADIANS($H$1)))-$J$1</f>
        <v>-804.85866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B44*$E$1</f>
        <v>10.20289</v>
      </c>
      <c r="D44" s="6" t="n">
        <f aca="false">$G$1+$K$1+$L$1</f>
        <v>25</v>
      </c>
      <c r="E44" s="6" t="n">
        <f aca="false">-A44*$E$1-($G$1*TAN(RADIANS($H$1)))-$J$1</f>
        <v>-801.05406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B45*$E$1</f>
        <v>10.1847</v>
      </c>
      <c r="D45" s="6" t="n">
        <f aca="false">$G$1+$K$1+$L$1</f>
        <v>25</v>
      </c>
      <c r="E45" s="6" t="n">
        <f aca="false">-A45*$E$1-($G$1*TAN(RADIANS($H$1)))-$J$1</f>
        <v>-797.32868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B46*$E$1</f>
        <v>10.12792</v>
      </c>
      <c r="D46" s="6" t="n">
        <f aca="false">$G$1+$K$1+$L$1</f>
        <v>25</v>
      </c>
      <c r="E46" s="6" t="n">
        <f aca="false">-A46*$E$1-($G$1*TAN(RADIANS($H$1)))-$J$1</f>
        <v>-793.69136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B47*$E$1</f>
        <v>10.03136</v>
      </c>
      <c r="D47" s="6" t="n">
        <f aca="false">$G$1+$K$1+$L$1</f>
        <v>25</v>
      </c>
      <c r="E47" s="6" t="n">
        <f aca="false">-A47*$E$1-($G$1*TAN(RADIANS($H$1)))-$J$1</f>
        <v>-790.1506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B48*$E$1</f>
        <v>9.89485</v>
      </c>
      <c r="D48" s="6" t="n">
        <f aca="false">$G$1+$K$1+$L$1</f>
        <v>25</v>
      </c>
      <c r="E48" s="6" t="n">
        <f aca="false">-A48*$E$1-($G$1*TAN(RADIANS($H$1)))-$J$1</f>
        <v>-786.71456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B49*$E$1</f>
        <v>9.71788</v>
      </c>
      <c r="D49" s="6" t="n">
        <f aca="false">$G$1+$K$1+$L$1</f>
        <v>25</v>
      </c>
      <c r="E49" s="6" t="n">
        <f aca="false">-A49*$E$1-($G$1*TAN(RADIANS($H$1)))-$J$1</f>
        <v>-783.39123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B50*$E$1</f>
        <v>9.50062</v>
      </c>
      <c r="D50" s="6" t="n">
        <f aca="false">$G$1+$K$1+$L$1</f>
        <v>25</v>
      </c>
      <c r="E50" s="6" t="n">
        <f aca="false">-A50*$E$1-($G$1*TAN(RADIANS($H$1)))-$J$1</f>
        <v>-780.18843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B51*$E$1</f>
        <v>9.24324</v>
      </c>
      <c r="D51" s="6" t="n">
        <f aca="false">$G$1+$K$1+$L$1</f>
        <v>25</v>
      </c>
      <c r="E51" s="6" t="n">
        <f aca="false">-A51*$E$1-($G$1*TAN(RADIANS($H$1)))-$J$1</f>
        <v>-777.11364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B52*$E$1</f>
        <v>8.94625</v>
      </c>
      <c r="D52" s="6" t="n">
        <f aca="false">$G$1+$K$1+$L$1</f>
        <v>25</v>
      </c>
      <c r="E52" s="6" t="n">
        <f aca="false">-A52*$E$1-($G$1*TAN(RADIANS($H$1)))-$J$1</f>
        <v>-774.17417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B53*$E$1</f>
        <v>8.61067</v>
      </c>
      <c r="D53" s="6" t="n">
        <f aca="false">$G$1+$K$1+$L$1</f>
        <v>25</v>
      </c>
      <c r="E53" s="6" t="n">
        <f aca="false">-A53*$E$1-($G$1*TAN(RADIANS($H$1)))-$J$1</f>
        <v>-771.37665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B54*$E$1</f>
        <v>8.23769</v>
      </c>
      <c r="D54" s="6" t="n">
        <f aca="false">$G$1+$K$1+$L$1</f>
        <v>25</v>
      </c>
      <c r="E54" s="6" t="n">
        <f aca="false">-A54*$E$1-($G$1*TAN(RADIANS($H$1)))-$J$1</f>
        <v>-768.72771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B55*$E$1</f>
        <v>7.82833</v>
      </c>
      <c r="D55" s="6" t="n">
        <f aca="false">$G$1+$K$1+$L$1</f>
        <v>25</v>
      </c>
      <c r="E55" s="6" t="n">
        <f aca="false">-A55*$E$1-($G$1*TAN(RADIANS($H$1)))-$J$1</f>
        <v>-766.23364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B56*$E$1</f>
        <v>7.38429</v>
      </c>
      <c r="D56" s="6" t="n">
        <f aca="false">$G$1+$K$1+$L$1</f>
        <v>25</v>
      </c>
      <c r="E56" s="6" t="n">
        <f aca="false">-A56*$E$1-($G$1*TAN(RADIANS($H$1)))-$J$1</f>
        <v>-763.90005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B57*$E$1</f>
        <v>6.90727</v>
      </c>
      <c r="D57" s="6" t="n">
        <f aca="false">$G$1+$K$1+$L$1</f>
        <v>25</v>
      </c>
      <c r="E57" s="6" t="n">
        <f aca="false">-A57*$E$1-($G$1*TAN(RADIANS($H$1)))-$J$1</f>
        <v>-761.73255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B58*$E$1</f>
        <v>6.39897</v>
      </c>
      <c r="D58" s="6" t="n">
        <f aca="false">$G$1+$K$1+$L$1</f>
        <v>25</v>
      </c>
      <c r="E58" s="6" t="n">
        <f aca="false">-A58*$E$1-($G$1*TAN(RADIANS($H$1)))-$J$1</f>
        <v>-759.73624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B59*$E$1</f>
        <v>5.86143</v>
      </c>
      <c r="D59" s="6" t="n">
        <f aca="false">$G$1+$K$1+$L$1</f>
        <v>25</v>
      </c>
      <c r="E59" s="6" t="n">
        <f aca="false">-A59*$E$1-($G$1*TAN(RADIANS($H$1)))-$J$1</f>
        <v>-757.91571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B60*$E$1</f>
        <v>5.29652</v>
      </c>
      <c r="D60" s="6" t="n">
        <f aca="false">$G$1+$K$1+$L$1</f>
        <v>25</v>
      </c>
      <c r="E60" s="6" t="n">
        <f aca="false">-A60*$E$1-($G$1*TAN(RADIANS($H$1)))-$J$1</f>
        <v>-756.27521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B61*$E$1</f>
        <v>4.70611</v>
      </c>
      <c r="D61" s="6" t="n">
        <f aca="false">$G$1+$K$1+$L$1</f>
        <v>25</v>
      </c>
      <c r="E61" s="6" t="n">
        <f aca="false">-A61*$E$1-($G$1*TAN(RADIANS($H$1)))-$J$1</f>
        <v>-754.81848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B62*$E$1</f>
        <v>4.09207</v>
      </c>
      <c r="D62" s="6" t="n">
        <f aca="false">$G$1+$K$1+$L$1</f>
        <v>25</v>
      </c>
      <c r="E62" s="6" t="n">
        <f aca="false">-A62*$E$1-($G$1*TAN(RADIANS($H$1)))-$J$1</f>
        <v>-753.54909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B63*$E$1</f>
        <v>3.4561</v>
      </c>
      <c r="D63" s="6" t="n">
        <f aca="false">$G$1+$K$1+$L$1</f>
        <v>25</v>
      </c>
      <c r="E63" s="6" t="n">
        <f aca="false">-A63*$E$1-($G$1*TAN(RADIANS($H$1)))-$J$1</f>
        <v>-752.46993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B64*$E$1</f>
        <v>2.80007</v>
      </c>
      <c r="D64" s="6" t="n">
        <f aca="false">$G$1+$K$1+$L$1</f>
        <v>25</v>
      </c>
      <c r="E64" s="6" t="n">
        <f aca="false">-A64*$E$1-($G$1*TAN(RADIANS($H$1)))-$J$1</f>
        <v>-751.58355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B65*$E$1</f>
        <v>2.12517</v>
      </c>
      <c r="D65" s="6" t="n">
        <f aca="false">$G$1+$K$1+$L$1</f>
        <v>25</v>
      </c>
      <c r="E65" s="6" t="n">
        <f aca="false">-A65*$E$1-($G$1*TAN(RADIANS($H$1)))-$J$1</f>
        <v>-750.89199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B66*$E$1</f>
        <v>1.43293</v>
      </c>
      <c r="D66" s="6" t="n">
        <f aca="false">$G$1+$K$1+$L$1</f>
        <v>25</v>
      </c>
      <c r="E66" s="6" t="n">
        <f aca="false">-A66*$E$1-($G$1*TAN(RADIANS($H$1)))-$J$1</f>
        <v>-750.39678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B67*$E$1</f>
        <v>0.7242</v>
      </c>
      <c r="D67" s="6" t="n">
        <f aca="false">$G$1+$K$1+$L$1</f>
        <v>25</v>
      </c>
      <c r="E67" s="6" t="n">
        <f aca="false">-A67*$E$1-($G$1*TAN(RADIANS($H$1)))-$J$1</f>
        <v>-750.09928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B68*$E$1</f>
        <v>0</v>
      </c>
      <c r="D68" s="6" t="n">
        <f aca="false">$G$1+$K$1+$L$1</f>
        <v>25</v>
      </c>
      <c r="E68" s="6" t="n">
        <f aca="false">-A68*$E$1-($G$1*TAN(RADIANS($H$1)))-$J$1</f>
        <v>-750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B69*$E$1</f>
        <v>-0.7242</v>
      </c>
      <c r="D69" s="6" t="n">
        <f aca="false">$G$1+$K$1+$L$1</f>
        <v>25</v>
      </c>
      <c r="E69" s="6" t="n">
        <f aca="false">-A69*$E$1-($G$1*TAN(RADIANS($H$1)))-$J$1</f>
        <v>-750.09928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B70*$E$1</f>
        <v>-1.43293</v>
      </c>
      <c r="D70" s="6" t="n">
        <f aca="false">$G$1+$K$1+$L$1</f>
        <v>25</v>
      </c>
      <c r="E70" s="6" t="n">
        <f aca="false">-A70*$E$1-($G$1*TAN(RADIANS($H$1)))-$J$1</f>
        <v>-750.39678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B71*$E$1</f>
        <v>-2.12517</v>
      </c>
      <c r="D71" s="6" t="n">
        <f aca="false">$G$1+$K$1+$L$1</f>
        <v>25</v>
      </c>
      <c r="E71" s="6" t="n">
        <f aca="false">-A71*$E$1-($G$1*TAN(RADIANS($H$1)))-$J$1</f>
        <v>-750.89199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B72*$E$1</f>
        <v>-2.80007</v>
      </c>
      <c r="D72" s="6" t="n">
        <f aca="false">$G$1+$K$1+$L$1</f>
        <v>25</v>
      </c>
      <c r="E72" s="6" t="n">
        <f aca="false">-A72*$E$1-($G$1*TAN(RADIANS($H$1)))-$J$1</f>
        <v>-751.58355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B73*$E$1</f>
        <v>-3.4561</v>
      </c>
      <c r="D73" s="6" t="n">
        <f aca="false">$G$1+$K$1+$L$1</f>
        <v>25</v>
      </c>
      <c r="E73" s="6" t="n">
        <f aca="false">-A73*$E$1-($G$1*TAN(RADIANS($H$1)))-$J$1</f>
        <v>-752.46993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B74*$E$1</f>
        <v>-4.09207</v>
      </c>
      <c r="D74" s="6" t="n">
        <f aca="false">$G$1+$K$1+$L$1</f>
        <v>25</v>
      </c>
      <c r="E74" s="6" t="n">
        <f aca="false">-A74*$E$1-($G$1*TAN(RADIANS($H$1)))-$J$1</f>
        <v>-753.54909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B75*$E$1</f>
        <v>-4.70611</v>
      </c>
      <c r="D75" s="6" t="n">
        <f aca="false">$G$1+$K$1+$L$1</f>
        <v>25</v>
      </c>
      <c r="E75" s="6" t="n">
        <f aca="false">-A75*$E$1-($G$1*TAN(RADIANS($H$1)))-$J$1</f>
        <v>-754.81848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B76*$E$1</f>
        <v>-5.29652</v>
      </c>
      <c r="D76" s="6" t="n">
        <f aca="false">$G$1+$K$1+$L$1</f>
        <v>25</v>
      </c>
      <c r="E76" s="6" t="n">
        <f aca="false">-A76*$E$1-($G$1*TAN(RADIANS($H$1)))-$J$1</f>
        <v>-756.27521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B77*$E$1</f>
        <v>-5.86143</v>
      </c>
      <c r="D77" s="6" t="n">
        <f aca="false">$G$1+$K$1+$L$1</f>
        <v>25</v>
      </c>
      <c r="E77" s="6" t="n">
        <f aca="false">-A77*$E$1-($G$1*TAN(RADIANS($H$1)))-$J$1</f>
        <v>-757.91571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B78*$E$1</f>
        <v>-6.39897</v>
      </c>
      <c r="D78" s="6" t="n">
        <f aca="false">$G$1+$K$1+$L$1</f>
        <v>25</v>
      </c>
      <c r="E78" s="6" t="n">
        <f aca="false">-A78*$E$1-($G$1*TAN(RADIANS($H$1)))-$J$1</f>
        <v>-759.73624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B79*$E$1</f>
        <v>-6.90727</v>
      </c>
      <c r="D79" s="6" t="n">
        <f aca="false">$G$1+$K$1+$L$1</f>
        <v>25</v>
      </c>
      <c r="E79" s="6" t="n">
        <f aca="false">-A79*$E$1-($G$1*TAN(RADIANS($H$1)))-$J$1</f>
        <v>-761.73255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B80*$E$1</f>
        <v>-7.38429</v>
      </c>
      <c r="D80" s="6" t="n">
        <f aca="false">$G$1+$K$1+$L$1</f>
        <v>25</v>
      </c>
      <c r="E80" s="6" t="n">
        <f aca="false">-A80*$E$1-($G$1*TAN(RADIANS($H$1)))-$J$1</f>
        <v>-763.90005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B81*$E$1</f>
        <v>-7.82833</v>
      </c>
      <c r="D81" s="6" t="n">
        <f aca="false">$G$1+$K$1+$L$1</f>
        <v>25</v>
      </c>
      <c r="E81" s="6" t="n">
        <f aca="false">-A81*$E$1-($G$1*TAN(RADIANS($H$1)))-$J$1</f>
        <v>-766.23364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B82*$E$1</f>
        <v>-8.23769</v>
      </c>
      <c r="D82" s="6" t="n">
        <f aca="false">$G$1+$K$1+$L$1</f>
        <v>25</v>
      </c>
      <c r="E82" s="6" t="n">
        <f aca="false">-A82*$E$1-($G$1*TAN(RADIANS($H$1)))-$J$1</f>
        <v>-768.72771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B83*$E$1</f>
        <v>-8.61067</v>
      </c>
      <c r="D83" s="6" t="n">
        <f aca="false">$G$1+$K$1+$L$1</f>
        <v>25</v>
      </c>
      <c r="E83" s="6" t="n">
        <f aca="false">-A83*$E$1-($G$1*TAN(RADIANS($H$1)))-$J$1</f>
        <v>-771.37665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B84*$E$1</f>
        <v>-8.94625</v>
      </c>
      <c r="D84" s="6" t="n">
        <f aca="false">$G$1+$K$1+$L$1</f>
        <v>25</v>
      </c>
      <c r="E84" s="6" t="n">
        <f aca="false">-A84*$E$1-($G$1*TAN(RADIANS($H$1)))-$J$1</f>
        <v>-774.17417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B85*$E$1</f>
        <v>-9.24324</v>
      </c>
      <c r="D85" s="6" t="n">
        <f aca="false">$G$1+$K$1+$L$1</f>
        <v>25</v>
      </c>
      <c r="E85" s="6" t="n">
        <f aca="false">-A85*$E$1-($G$1*TAN(RADIANS($H$1)))-$J$1</f>
        <v>-777.11364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B86*$E$1</f>
        <v>-9.50062</v>
      </c>
      <c r="D86" s="6" t="n">
        <f aca="false">$G$1+$K$1+$L$1</f>
        <v>25</v>
      </c>
      <c r="E86" s="6" t="n">
        <f aca="false">-A86*$E$1-($G$1*TAN(RADIANS($H$1)))-$J$1</f>
        <v>-780.18843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B87*$E$1</f>
        <v>-9.71788</v>
      </c>
      <c r="D87" s="6" t="n">
        <f aca="false">$G$1+$K$1+$L$1</f>
        <v>25</v>
      </c>
      <c r="E87" s="6" t="n">
        <f aca="false">-A87*$E$1-($G$1*TAN(RADIANS($H$1)))-$J$1</f>
        <v>-783.39123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B88*$E$1</f>
        <v>-9.89485</v>
      </c>
      <c r="D88" s="6" t="n">
        <f aca="false">$G$1+$K$1+$L$1</f>
        <v>25</v>
      </c>
      <c r="E88" s="6" t="n">
        <f aca="false">-A88*$E$1-($G$1*TAN(RADIANS($H$1)))-$J$1</f>
        <v>-786.71456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B89*$E$1</f>
        <v>-10.03136</v>
      </c>
      <c r="D89" s="6" t="n">
        <f aca="false">$G$1+$K$1+$L$1</f>
        <v>25</v>
      </c>
      <c r="E89" s="6" t="n">
        <f aca="false">-A89*$E$1-($G$1*TAN(RADIANS($H$1)))-$J$1</f>
        <v>-790.1506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B90*$E$1</f>
        <v>-10.12792</v>
      </c>
      <c r="D90" s="6" t="n">
        <f aca="false">$G$1+$K$1+$L$1</f>
        <v>25</v>
      </c>
      <c r="E90" s="6" t="n">
        <f aca="false">-A90*$E$1-($G$1*TAN(RADIANS($H$1)))-$J$1</f>
        <v>-793.69136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B91*$E$1</f>
        <v>-10.1847</v>
      </c>
      <c r="D91" s="6" t="n">
        <f aca="false">$G$1+$K$1+$L$1</f>
        <v>25</v>
      </c>
      <c r="E91" s="6" t="n">
        <f aca="false">-A91*$E$1-($G$1*TAN(RADIANS($H$1)))-$J$1</f>
        <v>-797.32868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B92*$E$1</f>
        <v>-10.20289</v>
      </c>
      <c r="D92" s="6" t="n">
        <f aca="false">$G$1+$K$1+$L$1</f>
        <v>25</v>
      </c>
      <c r="E92" s="6" t="n">
        <f aca="false">-A92*$E$1-($G$1*TAN(RADIANS($H$1)))-$J$1</f>
        <v>-801.05406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B93*$E$1</f>
        <v>-10.18351</v>
      </c>
      <c r="D93" s="6" t="n">
        <f aca="false">$G$1+$K$1+$L$1</f>
        <v>25</v>
      </c>
      <c r="E93" s="6" t="n">
        <f aca="false">-A93*$E$1-($G$1*TAN(RADIANS($H$1)))-$J$1</f>
        <v>-804.85866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B94*$E$1</f>
        <v>-10.12775</v>
      </c>
      <c r="D94" s="6" t="n">
        <f aca="false">$G$1+$K$1+$L$1</f>
        <v>25</v>
      </c>
      <c r="E94" s="6" t="n">
        <f aca="false">-A94*$E$1-($G$1*TAN(RADIANS($H$1)))-$J$1</f>
        <v>-808.73364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B95*$E$1</f>
        <v>-10.03714</v>
      </c>
      <c r="D95" s="6" t="n">
        <f aca="false">$G$1+$K$1+$L$1</f>
        <v>25</v>
      </c>
      <c r="E95" s="6" t="n">
        <f aca="false">-A95*$E$1-($G$1*TAN(RADIANS($H$1)))-$J$1</f>
        <v>-812.66982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B96*$E$1</f>
        <v>-9.91338</v>
      </c>
      <c r="D96" s="6" t="n">
        <f aca="false">$G$1+$K$1+$L$1</f>
        <v>25</v>
      </c>
      <c r="E96" s="6" t="n">
        <f aca="false">-A96*$E$1-($G$1*TAN(RADIANS($H$1)))-$J$1</f>
        <v>-816.65836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B97*$E$1</f>
        <v>-9.75851</v>
      </c>
      <c r="D97" s="6" t="n">
        <f aca="false">$G$1+$K$1+$L$1</f>
        <v>25</v>
      </c>
      <c r="E97" s="6" t="n">
        <f aca="false">-A97*$E$1-($G$1*TAN(RADIANS($H$1)))-$J$1</f>
        <v>-820.68974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B98*$E$1</f>
        <v>-9.5744</v>
      </c>
      <c r="D98" s="6" t="n">
        <f aca="false">$G$1+$K$1+$L$1</f>
        <v>25</v>
      </c>
      <c r="E98" s="6" t="n">
        <f aca="false">-A98*$E$1-($G$1*TAN(RADIANS($H$1)))-$J$1</f>
        <v>-824.75444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B99*$E$1</f>
        <v>-9.36309</v>
      </c>
      <c r="D99" s="6" t="n">
        <f aca="false">$G$1+$K$1+$L$1</f>
        <v>25</v>
      </c>
      <c r="E99" s="6" t="n">
        <f aca="false">-A99*$E$1-($G$1*TAN(RADIANS($H$1)))-$J$1</f>
        <v>-828.84311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B100*$E$1</f>
        <v>-9.12679</v>
      </c>
      <c r="D100" s="6" t="n">
        <f aca="false">$G$1+$K$1+$L$1</f>
        <v>25</v>
      </c>
      <c r="E100" s="6" t="n">
        <f aca="false">-A100*$E$1-($G$1*TAN(RADIANS($H$1)))-$J$1</f>
        <v>-832.94606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B101*$E$1</f>
        <v>-8.86754</v>
      </c>
      <c r="D101" s="6" t="n">
        <f aca="false">$G$1+$K$1+$L$1</f>
        <v>25</v>
      </c>
      <c r="E101" s="6" t="n">
        <f aca="false">-A101*$E$1-($G$1*TAN(RADIANS($H$1)))-$J$1</f>
        <v>-837.05394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B102*$E$1</f>
        <v>-8.58772</v>
      </c>
      <c r="D102" s="6" t="n">
        <f aca="false">$G$1+$K$1+$L$1</f>
        <v>25</v>
      </c>
      <c r="E102" s="6" t="n">
        <f aca="false">-A102*$E$1-($G$1*TAN(RADIANS($H$1)))-$J$1</f>
        <v>-841.15689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B103*$E$1</f>
        <v>-8.28954</v>
      </c>
      <c r="D103" s="6" t="n">
        <f aca="false">$G$1+$K$1+$L$1</f>
        <v>25</v>
      </c>
      <c r="E103" s="6" t="n">
        <f aca="false">-A103*$E$1-($G$1*TAN(RADIANS($H$1)))-$J$1</f>
        <v>-845.24556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B104*$E$1</f>
        <v>-7.97504</v>
      </c>
      <c r="D104" s="6" t="n">
        <f aca="false">$G$1+$K$1+$L$1</f>
        <v>25</v>
      </c>
      <c r="E104" s="6" t="n">
        <f aca="false">-A104*$E$1-($G$1*TAN(RADIANS($H$1)))-$J$1</f>
        <v>-849.31043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B105*$E$1</f>
        <v>-7.6466</v>
      </c>
      <c r="D105" s="6" t="n">
        <f aca="false">$G$1+$K$1+$L$1</f>
        <v>25</v>
      </c>
      <c r="E105" s="6" t="n">
        <f aca="false">-A105*$E$1-($G$1*TAN(RADIANS($H$1)))-$J$1</f>
        <v>-853.34164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B106*$E$1</f>
        <v>-7.30626</v>
      </c>
      <c r="D106" s="6" t="n">
        <f aca="false">$G$1+$K$1+$L$1</f>
        <v>25</v>
      </c>
      <c r="E106" s="6" t="n">
        <f aca="false">-A106*$E$1-($G$1*TAN(RADIANS($H$1)))-$J$1</f>
        <v>-857.33018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B107*$E$1</f>
        <v>-6.95589</v>
      </c>
      <c r="D107" s="6" t="n">
        <f aca="false">$G$1+$K$1+$L$1</f>
        <v>25</v>
      </c>
      <c r="E107" s="6" t="n">
        <f aca="false">-A107*$E$1-($G$1*TAN(RADIANS($H$1)))-$J$1</f>
        <v>-861.26653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B108*$E$1</f>
        <v>-6.59787</v>
      </c>
      <c r="D108" s="6" t="n">
        <f aca="false">$G$1+$K$1+$L$1</f>
        <v>25</v>
      </c>
      <c r="E108" s="6" t="n">
        <f aca="false">-A108*$E$1-($G$1*TAN(RADIANS($H$1)))-$J$1</f>
        <v>-865.14151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B109*$E$1</f>
        <v>-6.2339</v>
      </c>
      <c r="D109" s="6" t="n">
        <f aca="false">$G$1+$K$1+$L$1</f>
        <v>25</v>
      </c>
      <c r="E109" s="6" t="n">
        <f aca="false">-A109*$E$1-($G$1*TAN(RADIANS($H$1)))-$J$1</f>
        <v>-868.94594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B110*$E$1</f>
        <v>-5.86602</v>
      </c>
      <c r="D110" s="6" t="n">
        <f aca="false">$G$1+$K$1+$L$1</f>
        <v>25</v>
      </c>
      <c r="E110" s="6" t="n">
        <f aca="false">-A110*$E$1-($G$1*TAN(RADIANS($H$1)))-$J$1</f>
        <v>-872.67132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B111*$E$1</f>
        <v>-5.49593</v>
      </c>
      <c r="D111" s="6" t="n">
        <f aca="false">$G$1+$K$1+$L$1</f>
        <v>25</v>
      </c>
      <c r="E111" s="6" t="n">
        <f aca="false">-A111*$E$1-($G$1*TAN(RADIANS($H$1)))-$J$1</f>
        <v>-876.30864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B112*$E$1</f>
        <v>-5.12584</v>
      </c>
      <c r="D112" s="6" t="n">
        <f aca="false">$G$1+$K$1+$L$1</f>
        <v>25</v>
      </c>
      <c r="E112" s="6" t="n">
        <f aca="false">-A112*$E$1-($G$1*TAN(RADIANS($H$1)))-$J$1</f>
        <v>-879.8494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B113*$E$1</f>
        <v>-4.75711</v>
      </c>
      <c r="D113" s="6" t="n">
        <f aca="false">$G$1+$K$1+$L$1</f>
        <v>25</v>
      </c>
      <c r="E113" s="6" t="n">
        <f aca="false">-A113*$E$1-($G$1*TAN(RADIANS($H$1)))-$J$1</f>
        <v>-883.28544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B114*$E$1</f>
        <v>-4.39178</v>
      </c>
      <c r="D114" s="6" t="n">
        <f aca="false">$G$1+$K$1+$L$1</f>
        <v>25</v>
      </c>
      <c r="E114" s="6" t="n">
        <f aca="false">-A114*$E$1-($G$1*TAN(RADIANS($H$1)))-$J$1</f>
        <v>-886.60877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B115*$E$1</f>
        <v>-4.03138</v>
      </c>
      <c r="D115" s="6" t="n">
        <f aca="false">$G$1+$K$1+$L$1</f>
        <v>25</v>
      </c>
      <c r="E115" s="6" t="n">
        <f aca="false">-A115*$E$1-($G$1*TAN(RADIANS($H$1)))-$J$1</f>
        <v>-889.81157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B116*$E$1</f>
        <v>-3.67795</v>
      </c>
      <c r="D116" s="6" t="n">
        <f aca="false">$G$1+$K$1+$L$1</f>
        <v>25</v>
      </c>
      <c r="E116" s="6" t="n">
        <f aca="false">-A116*$E$1-($G$1*TAN(RADIANS($H$1)))-$J$1</f>
        <v>-892.88636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B117*$E$1</f>
        <v>-3.33285</v>
      </c>
      <c r="D117" s="6" t="n">
        <f aca="false">$G$1+$K$1+$L$1</f>
        <v>25</v>
      </c>
      <c r="E117" s="6" t="n">
        <f aca="false">-A117*$E$1-($G$1*TAN(RADIANS($H$1)))-$J$1</f>
        <v>-895.826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B118*$E$1</f>
        <v>-2.99795</v>
      </c>
      <c r="D118" s="6" t="n">
        <f aca="false">$G$1+$K$1+$L$1</f>
        <v>25</v>
      </c>
      <c r="E118" s="6" t="n">
        <f aca="false">-A118*$E$1-($G$1*TAN(RADIANS($H$1)))-$J$1</f>
        <v>-898.62335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B119*$E$1</f>
        <v>-2.67495</v>
      </c>
      <c r="D119" s="6" t="n">
        <f aca="false">$G$1+$K$1+$L$1</f>
        <v>25</v>
      </c>
      <c r="E119" s="6" t="n">
        <f aca="false">-A119*$E$1-($G$1*TAN(RADIANS($H$1)))-$J$1</f>
        <v>-901.27229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B120*$E$1</f>
        <v>-2.36538</v>
      </c>
      <c r="D120" s="6" t="n">
        <f aca="false">$G$1+$K$1+$L$1</f>
        <v>25</v>
      </c>
      <c r="E120" s="6" t="n">
        <f aca="false">-A120*$E$1-($G$1*TAN(RADIANS($H$1)))-$J$1</f>
        <v>-903.76653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B121*$E$1</f>
        <v>-2.07094</v>
      </c>
      <c r="D121" s="6" t="n">
        <f aca="false">$G$1+$K$1+$L$1</f>
        <v>25</v>
      </c>
      <c r="E121" s="6" t="n">
        <f aca="false">-A121*$E$1-($G$1*TAN(RADIANS($H$1)))-$J$1</f>
        <v>-906.09995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B122*$E$1</f>
        <v>-1.79333</v>
      </c>
      <c r="D122" s="6" t="n">
        <f aca="false">$G$1+$K$1+$L$1</f>
        <v>25</v>
      </c>
      <c r="E122" s="6" t="n">
        <f aca="false">-A122*$E$1-($G$1*TAN(RADIANS($H$1)))-$J$1</f>
        <v>-908.26745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B123*$E$1</f>
        <v>-1.53374</v>
      </c>
      <c r="D123" s="6" t="n">
        <f aca="false">$G$1+$K$1+$L$1</f>
        <v>25</v>
      </c>
      <c r="E123" s="6" t="n">
        <f aca="false">-A123*$E$1-($G$1*TAN(RADIANS($H$1)))-$J$1</f>
        <v>-910.26376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B124*$E$1</f>
        <v>-1.29387</v>
      </c>
      <c r="D124" s="6" t="n">
        <f aca="false">$G$1+$K$1+$L$1</f>
        <v>25</v>
      </c>
      <c r="E124" s="6" t="n">
        <f aca="false">-A124*$E$1-($G$1*TAN(RADIANS($H$1)))-$J$1</f>
        <v>-912.08429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B125*$E$1</f>
        <v>-1.07508</v>
      </c>
      <c r="D125" s="6" t="n">
        <f aca="false">$G$1+$K$1+$L$1</f>
        <v>25</v>
      </c>
      <c r="E125" s="6" t="n">
        <f aca="false">-A125*$E$1-($G$1*TAN(RADIANS($H$1)))-$J$1</f>
        <v>-913.72479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B126*$E$1</f>
        <v>-0.87873</v>
      </c>
      <c r="D126" s="6" t="n">
        <f aca="false">$G$1+$K$1+$L$1</f>
        <v>25</v>
      </c>
      <c r="E126" s="6" t="n">
        <f aca="false">-A126*$E$1-($G$1*TAN(RADIANS($H$1)))-$J$1</f>
        <v>-915.18152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B127*$E$1</f>
        <v>-0.70584</v>
      </c>
      <c r="D127" s="6" t="n">
        <f aca="false">$G$1+$K$1+$L$1</f>
        <v>25</v>
      </c>
      <c r="E127" s="6" t="n">
        <f aca="false">-A127*$E$1-($G$1*TAN(RADIANS($H$1)))-$J$1</f>
        <v>-916.45091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B128*$E$1</f>
        <v>-0.5576</v>
      </c>
      <c r="D128" s="6" t="n">
        <f aca="false">$G$1+$K$1+$L$1</f>
        <v>25</v>
      </c>
      <c r="E128" s="6" t="n">
        <f aca="false">-A128*$E$1-($G$1*TAN(RADIANS($H$1)))-$J$1</f>
        <v>-917.53007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B129*$E$1</f>
        <v>-0.4352</v>
      </c>
      <c r="D129" s="6" t="n">
        <f aca="false">$G$1+$K$1+$L$1</f>
        <v>25</v>
      </c>
      <c r="E129" s="6" t="n">
        <f aca="false">-A129*$E$1-($G$1*TAN(RADIANS($H$1)))-$J$1</f>
        <v>-918.41645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B130*$E$1</f>
        <v>-0.33898</v>
      </c>
      <c r="D130" s="6" t="n">
        <f aca="false">$G$1+$K$1+$L$1</f>
        <v>25</v>
      </c>
      <c r="E130" s="6" t="n">
        <f aca="false">-A130*$E$1-($G$1*TAN(RADIANS($H$1)))-$J$1</f>
        <v>-919.10801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B131*$E$1</f>
        <v>-0.26979</v>
      </c>
      <c r="D131" s="6" t="n">
        <f aca="false">$G$1+$K$1+$L$1</f>
        <v>25</v>
      </c>
      <c r="E131" s="6" t="n">
        <f aca="false">-A131*$E$1-($G$1*TAN(RADIANS($H$1)))-$J$1</f>
        <v>-919.60322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B132*$E$1</f>
        <v>-0.22814</v>
      </c>
      <c r="D132" s="6" t="n">
        <f aca="false">$G$1+$K$1+$L$1</f>
        <v>25</v>
      </c>
      <c r="E132" s="6" t="n">
        <f aca="false">-A132*$E$1-($G$1*TAN(RADIANS($H$1)))-$J$1</f>
        <v>-919.90072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B133*$E$1</f>
        <v>0</v>
      </c>
      <c r="D133" s="6" t="n">
        <f aca="false">$G$1+$K$1+$L$1</f>
        <v>25</v>
      </c>
      <c r="E133" s="6" t="n">
        <f aca="false">-A133*$E$1-($G$1*TAN(RADIANS($H$1)))-$J$1</f>
        <v>-920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67</v>
      </c>
      <c r="E1" s="4" t="n">
        <v>90</v>
      </c>
      <c r="F1" s="4" t="n">
        <v>0</v>
      </c>
      <c r="G1" s="4" t="n">
        <v>200</v>
      </c>
      <c r="H1" s="4" t="n">
        <v>21.8014095</v>
      </c>
      <c r="J1" s="4" t="n">
        <v>750</v>
      </c>
      <c r="K1" s="4" t="n">
        <v>0</v>
      </c>
      <c r="L1" s="4" t="n">
        <v>25</v>
      </c>
    </row>
    <row r="2" customFormat="false" ht="15" hidden="false" customHeight="tru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J2" s="5" t="s">
        <v>59</v>
      </c>
      <c r="K2" s="5" t="s">
        <v>66</v>
      </c>
      <c r="L2" s="5" t="s">
        <v>60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B3*$E$1</f>
        <v>0</v>
      </c>
      <c r="D3" s="6" t="n">
        <f aca="false">$G$1+$K$1+$L$1</f>
        <v>225</v>
      </c>
      <c r="E3" s="6" t="n">
        <f aca="false">-A3*$E$1-($G$1*TAN(RADIANS($H$1)))-$J$1</f>
        <v>-920.000000055264</v>
      </c>
      <c r="N3" s="5" t="s">
        <v>61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B4*$E$1</f>
        <v>0.12078</v>
      </c>
      <c r="D4" s="6" t="n">
        <f aca="false">$G$1+$K$1+$L$1</f>
        <v>225</v>
      </c>
      <c r="E4" s="6" t="n">
        <f aca="false">-A4*$E$1-($G$1*TAN(RADIANS($H$1)))-$J$1</f>
        <v>-919.947440055264</v>
      </c>
      <c r="N4" s="5" t="s">
        <v>62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B5*$E$1</f>
        <v>0.14283</v>
      </c>
      <c r="D5" s="6" t="n">
        <f aca="false">$G$1+$K$1+$L$1</f>
        <v>225</v>
      </c>
      <c r="E5" s="6" t="n">
        <f aca="false">-A5*$E$1-($G$1*TAN(RADIANS($H$1)))-$J$1</f>
        <v>-919.789940055264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B6*$E$1</f>
        <v>0.17946</v>
      </c>
      <c r="D6" s="6" t="n">
        <f aca="false">$G$1+$K$1+$L$1</f>
        <v>225</v>
      </c>
      <c r="E6" s="6" t="n">
        <f aca="false">-A6*$E$1-($G$1*TAN(RADIANS($H$1)))-$J$1</f>
        <v>-919.527770055264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B7*$E$1</f>
        <v>0.2304</v>
      </c>
      <c r="D7" s="6" t="n">
        <f aca="false">$G$1+$K$1+$L$1</f>
        <v>225</v>
      </c>
      <c r="E7" s="6" t="n">
        <f aca="false">-A7*$E$1-($G$1*TAN(RADIANS($H$1)))-$J$1</f>
        <v>-919.161650055264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B8*$E$1</f>
        <v>0.2952</v>
      </c>
      <c r="D8" s="6" t="n">
        <f aca="false">$G$1+$K$1+$L$1</f>
        <v>225</v>
      </c>
      <c r="E8" s="6" t="n">
        <f aca="false">-A8*$E$1-($G$1*TAN(RADIANS($H$1)))-$J$1</f>
        <v>-918.692390055264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B9*$E$1</f>
        <v>0.37368</v>
      </c>
      <c r="D9" s="6" t="n">
        <f aca="false">$G$1+$K$1+$L$1</f>
        <v>225</v>
      </c>
      <c r="E9" s="6" t="n">
        <f aca="false">-A9*$E$1-($G$1*TAN(RADIANS($H$1)))-$J$1</f>
        <v>-918.121070055264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B10*$E$1</f>
        <v>0.46521</v>
      </c>
      <c r="D10" s="6" t="n">
        <f aca="false">$G$1+$K$1+$L$1</f>
        <v>225</v>
      </c>
      <c r="E10" s="6" t="n">
        <f aca="false">-A10*$E$1-($G$1*TAN(RADIANS($H$1)))-$J$1</f>
        <v>-917.449040055264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B11*$E$1</f>
        <v>0.56916</v>
      </c>
      <c r="D11" s="6" t="n">
        <f aca="false">$G$1+$K$1+$L$1</f>
        <v>225</v>
      </c>
      <c r="E11" s="6" t="n">
        <f aca="false">-A11*$E$1-($G$1*TAN(RADIANS($H$1)))-$J$1</f>
        <v>-916.677830055264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B12*$E$1</f>
        <v>0.68499</v>
      </c>
      <c r="D12" s="6" t="n">
        <f aca="false">$G$1+$K$1+$L$1</f>
        <v>225</v>
      </c>
      <c r="E12" s="6" t="n">
        <f aca="false">-A12*$E$1-($G$1*TAN(RADIANS($H$1)))-$J$1</f>
        <v>-915.809330055264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B13*$E$1</f>
        <v>0.81198</v>
      </c>
      <c r="D13" s="6" t="n">
        <f aca="false">$G$1+$K$1+$L$1</f>
        <v>225</v>
      </c>
      <c r="E13" s="6" t="n">
        <f aca="false">-A13*$E$1-($G$1*TAN(RADIANS($H$1)))-$J$1</f>
        <v>-914.845520055264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B14*$E$1</f>
        <v>0.94941</v>
      </c>
      <c r="D14" s="6" t="n">
        <f aca="false">$G$1+$K$1+$L$1</f>
        <v>225</v>
      </c>
      <c r="E14" s="6" t="n">
        <f aca="false">-A14*$E$1-($G$1*TAN(RADIANS($H$1)))-$J$1</f>
        <v>-913.788650055264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B15*$E$1</f>
        <v>1.09638</v>
      </c>
      <c r="D15" s="6" t="n">
        <f aca="false">$G$1+$K$1+$L$1</f>
        <v>225</v>
      </c>
      <c r="E15" s="6" t="n">
        <f aca="false">-A15*$E$1-($G$1*TAN(RADIANS($H$1)))-$J$1</f>
        <v>-912.641150055264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B16*$E$1</f>
        <v>1.25226</v>
      </c>
      <c r="D16" s="6" t="n">
        <f aca="false">$G$1+$K$1+$L$1</f>
        <v>225</v>
      </c>
      <c r="E16" s="6" t="n">
        <f aca="false">-A16*$E$1-($G$1*TAN(RADIANS($H$1)))-$J$1</f>
        <v>-911.405810055264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B17*$E$1</f>
        <v>1.41615</v>
      </c>
      <c r="D17" s="6" t="n">
        <f aca="false">$G$1+$K$1+$L$1</f>
        <v>225</v>
      </c>
      <c r="E17" s="6" t="n">
        <f aca="false">-A17*$E$1-($G$1*TAN(RADIANS($H$1)))-$J$1</f>
        <v>-910.085330055264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B18*$E$1</f>
        <v>1.58715</v>
      </c>
      <c r="D18" s="6" t="n">
        <f aca="false">$G$1+$K$1+$L$1</f>
        <v>225</v>
      </c>
      <c r="E18" s="6" t="n">
        <f aca="false">-A18*$E$1-($G$1*TAN(RADIANS($H$1)))-$J$1</f>
        <v>-908.682950055264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B19*$E$1</f>
        <v>1.76445</v>
      </c>
      <c r="D19" s="6" t="n">
        <f aca="false">$G$1+$K$1+$L$1</f>
        <v>225</v>
      </c>
      <c r="E19" s="6" t="n">
        <f aca="false">-A19*$E$1-($G$1*TAN(RADIANS($H$1)))-$J$1</f>
        <v>-907.202000055264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B20*$E$1</f>
        <v>1.94715</v>
      </c>
      <c r="D20" s="6" t="n">
        <f aca="false">$G$1+$K$1+$L$1</f>
        <v>225</v>
      </c>
      <c r="E20" s="6" t="n">
        <f aca="false">-A20*$E$1-($G$1*TAN(RADIANS($H$1)))-$J$1</f>
        <v>-905.645720055264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B21*$E$1</f>
        <v>2.13426</v>
      </c>
      <c r="D21" s="6" t="n">
        <f aca="false">$G$1+$K$1+$L$1</f>
        <v>225</v>
      </c>
      <c r="E21" s="6" t="n">
        <f aca="false">-A21*$E$1-($G$1*TAN(RADIANS($H$1)))-$J$1</f>
        <v>-904.017890055264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B22*$E$1</f>
        <v>2.32506</v>
      </c>
      <c r="D22" s="6" t="n">
        <f aca="false">$G$1+$K$1+$L$1</f>
        <v>225</v>
      </c>
      <c r="E22" s="6" t="n">
        <f aca="false">-A22*$E$1-($G$1*TAN(RADIANS($H$1)))-$J$1</f>
        <v>-902.322290055264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B23*$E$1</f>
        <v>2.51847</v>
      </c>
      <c r="D23" s="6" t="n">
        <f aca="false">$G$1+$K$1+$L$1</f>
        <v>225</v>
      </c>
      <c r="E23" s="6" t="n">
        <f aca="false">-A23*$E$1-($G$1*TAN(RADIANS($H$1)))-$J$1</f>
        <v>-900.562880055264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B24*$E$1</f>
        <v>2.71368</v>
      </c>
      <c r="D24" s="6" t="n">
        <f aca="false">$G$1+$K$1+$L$1</f>
        <v>225</v>
      </c>
      <c r="E24" s="6" t="n">
        <f aca="false">-A24*$E$1-($G$1*TAN(RADIANS($H$1)))-$J$1</f>
        <v>-898.743800055264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B25*$E$1</f>
        <v>2.90961</v>
      </c>
      <c r="D25" s="6" t="n">
        <f aca="false">$G$1+$K$1+$L$1</f>
        <v>225</v>
      </c>
      <c r="E25" s="6" t="n">
        <f aca="false">-A25*$E$1-($G$1*TAN(RADIANS($H$1)))-$J$1</f>
        <v>-896.869280055264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B26*$E$1</f>
        <v>3.10554</v>
      </c>
      <c r="D26" s="6" t="n">
        <f aca="false">$G$1+$K$1+$L$1</f>
        <v>225</v>
      </c>
      <c r="E26" s="6" t="n">
        <f aca="false">-A26*$E$1-($G$1*TAN(RADIANS($H$1)))-$J$1</f>
        <v>-894.943640055264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B27*$E$1</f>
        <v>3.3003</v>
      </c>
      <c r="D27" s="6" t="n">
        <f aca="false">$G$1+$K$1+$L$1</f>
        <v>225</v>
      </c>
      <c r="E27" s="6" t="n">
        <f aca="false">-A27*$E$1-($G$1*TAN(RADIANS($H$1)))-$J$1</f>
        <v>-892.971380055264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B28*$E$1</f>
        <v>3.49299</v>
      </c>
      <c r="D28" s="6" t="n">
        <f aca="false">$G$1+$K$1+$L$1</f>
        <v>225</v>
      </c>
      <c r="E28" s="6" t="n">
        <f aca="false">-A28*$E$1-($G$1*TAN(RADIANS($H$1)))-$J$1</f>
        <v>-890.957270055264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B29*$E$1</f>
        <v>3.68253</v>
      </c>
      <c r="D29" s="6" t="n">
        <f aca="false">$G$1+$K$1+$L$1</f>
        <v>225</v>
      </c>
      <c r="E29" s="6" t="n">
        <f aca="false">-A29*$E$1-($G$1*TAN(RADIANS($H$1)))-$J$1</f>
        <v>-888.905810055264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B30*$E$1</f>
        <v>3.86802</v>
      </c>
      <c r="D30" s="6" t="n">
        <f aca="false">$G$1+$K$1+$L$1</f>
        <v>225</v>
      </c>
      <c r="E30" s="6" t="n">
        <f aca="false">-A30*$E$1-($G$1*TAN(RADIANS($H$1)))-$J$1</f>
        <v>-886.821860055264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B31*$E$1</f>
        <v>4.0482</v>
      </c>
      <c r="D31" s="6" t="n">
        <f aca="false">$G$1+$K$1+$L$1</f>
        <v>225</v>
      </c>
      <c r="E31" s="6" t="n">
        <f aca="false">-A31*$E$1-($G$1*TAN(RADIANS($H$1)))-$J$1</f>
        <v>-884.710280055264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B32*$E$1</f>
        <v>4.22208</v>
      </c>
      <c r="D32" s="6" t="n">
        <f aca="false">$G$1+$K$1+$L$1</f>
        <v>225</v>
      </c>
      <c r="E32" s="6" t="n">
        <f aca="false">-A32*$E$1-($G$1*TAN(RADIANS($H$1)))-$J$1</f>
        <v>-882.576110055264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B33*$E$1</f>
        <v>4.38858</v>
      </c>
      <c r="D33" s="6" t="n">
        <f aca="false">$G$1+$K$1+$L$1</f>
        <v>225</v>
      </c>
      <c r="E33" s="6" t="n">
        <f aca="false">-A33*$E$1-($G$1*TAN(RADIANS($H$1)))-$J$1</f>
        <v>-880.424120055264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B34*$E$1</f>
        <v>4.54644</v>
      </c>
      <c r="D34" s="6" t="n">
        <f aca="false">$G$1+$K$1+$L$1</f>
        <v>225</v>
      </c>
      <c r="E34" s="6" t="n">
        <f aca="false">-A34*$E$1-($G$1*TAN(RADIANS($H$1)))-$J$1</f>
        <v>-878.259530055264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B35*$E$1</f>
        <v>4.69458</v>
      </c>
      <c r="D35" s="6" t="n">
        <f aca="false">$G$1+$K$1+$L$1</f>
        <v>225</v>
      </c>
      <c r="E35" s="6" t="n">
        <f aca="false">-A35*$E$1-($G$1*TAN(RADIANS($H$1)))-$J$1</f>
        <v>-876.087380055264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B36*$E$1</f>
        <v>4.83183</v>
      </c>
      <c r="D36" s="6" t="n">
        <f aca="false">$G$1+$K$1+$L$1</f>
        <v>225</v>
      </c>
      <c r="E36" s="6" t="n">
        <f aca="false">-A36*$E$1-($G$1*TAN(RADIANS($H$1)))-$J$1</f>
        <v>-873.912620055264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B37*$E$1</f>
        <v>4.95693</v>
      </c>
      <c r="D37" s="6" t="n">
        <f aca="false">$G$1+$K$1+$L$1</f>
        <v>225</v>
      </c>
      <c r="E37" s="6" t="n">
        <f aca="false">-A37*$E$1-($G$1*TAN(RADIANS($H$1)))-$J$1</f>
        <v>-871.740470055264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B38*$E$1</f>
        <v>5.0688</v>
      </c>
      <c r="D38" s="6" t="n">
        <f aca="false">$G$1+$K$1+$L$1</f>
        <v>225</v>
      </c>
      <c r="E38" s="6" t="n">
        <f aca="false">-A38*$E$1-($G$1*TAN(RADIANS($H$1)))-$J$1</f>
        <v>-869.575880055264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B39*$E$1</f>
        <v>5.16627</v>
      </c>
      <c r="D39" s="6" t="n">
        <f aca="false">$G$1+$K$1+$L$1</f>
        <v>225</v>
      </c>
      <c r="E39" s="6" t="n">
        <f aca="false">-A39*$E$1-($G$1*TAN(RADIANS($H$1)))-$J$1</f>
        <v>-867.423980055264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B40*$E$1</f>
        <v>5.24826</v>
      </c>
      <c r="D40" s="6" t="n">
        <f aca="false">$G$1+$K$1+$L$1</f>
        <v>225</v>
      </c>
      <c r="E40" s="6" t="n">
        <f aca="false">-A40*$E$1-($G$1*TAN(RADIANS($H$1)))-$J$1</f>
        <v>-865.289720055264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B41*$E$1</f>
        <v>5.31378</v>
      </c>
      <c r="D41" s="6" t="n">
        <f aca="false">$G$1+$K$1+$L$1</f>
        <v>225</v>
      </c>
      <c r="E41" s="6" t="n">
        <f aca="false">-A41*$E$1-($G$1*TAN(RADIANS($H$1)))-$J$1</f>
        <v>-863.178140055264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B42*$E$1</f>
        <v>5.36175</v>
      </c>
      <c r="D42" s="6" t="n">
        <f aca="false">$G$1+$K$1+$L$1</f>
        <v>225</v>
      </c>
      <c r="E42" s="6" t="n">
        <f aca="false">-A42*$E$1-($G$1*TAN(RADIANS($H$1)))-$J$1</f>
        <v>-861.094280055264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B43*$E$1</f>
        <v>5.39127</v>
      </c>
      <c r="D43" s="6" t="n">
        <f aca="false">$G$1+$K$1+$L$1</f>
        <v>225</v>
      </c>
      <c r="E43" s="6" t="n">
        <f aca="false">-A43*$E$1-($G$1*TAN(RADIANS($H$1)))-$J$1</f>
        <v>-859.042820055264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B44*$E$1</f>
        <v>5.40153</v>
      </c>
      <c r="D44" s="6" t="n">
        <f aca="false">$G$1+$K$1+$L$1</f>
        <v>225</v>
      </c>
      <c r="E44" s="6" t="n">
        <f aca="false">-A44*$E$1-($G$1*TAN(RADIANS($H$1)))-$J$1</f>
        <v>-857.028620055264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B45*$E$1</f>
        <v>5.3919</v>
      </c>
      <c r="D45" s="6" t="n">
        <f aca="false">$G$1+$K$1+$L$1</f>
        <v>225</v>
      </c>
      <c r="E45" s="6" t="n">
        <f aca="false">-A45*$E$1-($G$1*TAN(RADIANS($H$1)))-$J$1</f>
        <v>-855.056360055264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B46*$E$1</f>
        <v>5.36184</v>
      </c>
      <c r="D46" s="6" t="n">
        <f aca="false">$G$1+$K$1+$L$1</f>
        <v>225</v>
      </c>
      <c r="E46" s="6" t="n">
        <f aca="false">-A46*$E$1-($G$1*TAN(RADIANS($H$1)))-$J$1</f>
        <v>-853.130720055264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B47*$E$1</f>
        <v>5.31072</v>
      </c>
      <c r="D47" s="6" t="n">
        <f aca="false">$G$1+$K$1+$L$1</f>
        <v>225</v>
      </c>
      <c r="E47" s="6" t="n">
        <f aca="false">-A47*$E$1-($G$1*TAN(RADIANS($H$1)))-$J$1</f>
        <v>-851.256200055264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B48*$E$1</f>
        <v>5.23845</v>
      </c>
      <c r="D48" s="6" t="n">
        <f aca="false">$G$1+$K$1+$L$1</f>
        <v>225</v>
      </c>
      <c r="E48" s="6" t="n">
        <f aca="false">-A48*$E$1-($G$1*TAN(RADIANS($H$1)))-$J$1</f>
        <v>-849.437120055264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B49*$E$1</f>
        <v>5.14476</v>
      </c>
      <c r="D49" s="6" t="n">
        <f aca="false">$G$1+$K$1+$L$1</f>
        <v>225</v>
      </c>
      <c r="E49" s="6" t="n">
        <f aca="false">-A49*$E$1-($G$1*TAN(RADIANS($H$1)))-$J$1</f>
        <v>-847.677710055264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B50*$E$1</f>
        <v>5.02974</v>
      </c>
      <c r="D50" s="6" t="n">
        <f aca="false">$G$1+$K$1+$L$1</f>
        <v>225</v>
      </c>
      <c r="E50" s="6" t="n">
        <f aca="false">-A50*$E$1-($G$1*TAN(RADIANS($H$1)))-$J$1</f>
        <v>-845.982110055264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B51*$E$1</f>
        <v>4.89348</v>
      </c>
      <c r="D51" s="6" t="n">
        <f aca="false">$G$1+$K$1+$L$1</f>
        <v>225</v>
      </c>
      <c r="E51" s="6" t="n">
        <f aca="false">-A51*$E$1-($G$1*TAN(RADIANS($H$1)))-$J$1</f>
        <v>-844.354280055264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B52*$E$1</f>
        <v>4.73625</v>
      </c>
      <c r="D52" s="6" t="n">
        <f aca="false">$G$1+$K$1+$L$1</f>
        <v>225</v>
      </c>
      <c r="E52" s="6" t="n">
        <f aca="false">-A52*$E$1-($G$1*TAN(RADIANS($H$1)))-$J$1</f>
        <v>-842.798090055264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B53*$E$1</f>
        <v>4.55859</v>
      </c>
      <c r="D53" s="6" t="n">
        <f aca="false">$G$1+$K$1+$L$1</f>
        <v>225</v>
      </c>
      <c r="E53" s="6" t="n">
        <f aca="false">-A53*$E$1-($G$1*TAN(RADIANS($H$1)))-$J$1</f>
        <v>-841.317050055264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B54*$E$1</f>
        <v>4.36113</v>
      </c>
      <c r="D54" s="6" t="n">
        <f aca="false">$G$1+$K$1+$L$1</f>
        <v>225</v>
      </c>
      <c r="E54" s="6" t="n">
        <f aca="false">-A54*$E$1-($G$1*TAN(RADIANS($H$1)))-$J$1</f>
        <v>-839.914670055264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B55*$E$1</f>
        <v>4.14441</v>
      </c>
      <c r="D55" s="6" t="n">
        <f aca="false">$G$1+$K$1+$L$1</f>
        <v>225</v>
      </c>
      <c r="E55" s="6" t="n">
        <f aca="false">-A55*$E$1-($G$1*TAN(RADIANS($H$1)))-$J$1</f>
        <v>-838.594280055264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B56*$E$1</f>
        <v>3.90933</v>
      </c>
      <c r="D56" s="6" t="n">
        <f aca="false">$G$1+$K$1+$L$1</f>
        <v>225</v>
      </c>
      <c r="E56" s="6" t="n">
        <f aca="false">-A56*$E$1-($G$1*TAN(RADIANS($H$1)))-$J$1</f>
        <v>-837.358850055264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B57*$E$1</f>
        <v>3.65679</v>
      </c>
      <c r="D57" s="6" t="n">
        <f aca="false">$G$1+$K$1+$L$1</f>
        <v>225</v>
      </c>
      <c r="E57" s="6" t="n">
        <f aca="false">-A57*$E$1-($G$1*TAN(RADIANS($H$1)))-$J$1</f>
        <v>-836.211350055264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B58*$E$1</f>
        <v>3.38769</v>
      </c>
      <c r="D58" s="6" t="n">
        <f aca="false">$G$1+$K$1+$L$1</f>
        <v>225</v>
      </c>
      <c r="E58" s="6" t="n">
        <f aca="false">-A58*$E$1-($G$1*TAN(RADIANS($H$1)))-$J$1</f>
        <v>-835.154480055264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B59*$E$1</f>
        <v>3.10311</v>
      </c>
      <c r="D59" s="6" t="n">
        <f aca="false">$G$1+$K$1+$L$1</f>
        <v>225</v>
      </c>
      <c r="E59" s="6" t="n">
        <f aca="false">-A59*$E$1-($G$1*TAN(RADIANS($H$1)))-$J$1</f>
        <v>-834.190670055264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B60*$E$1</f>
        <v>2.80404</v>
      </c>
      <c r="D60" s="6" t="n">
        <f aca="false">$G$1+$K$1+$L$1</f>
        <v>225</v>
      </c>
      <c r="E60" s="6" t="n">
        <f aca="false">-A60*$E$1-($G$1*TAN(RADIANS($H$1)))-$J$1</f>
        <v>-833.322170055264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B61*$E$1</f>
        <v>2.49147</v>
      </c>
      <c r="D61" s="6" t="n">
        <f aca="false">$G$1+$K$1+$L$1</f>
        <v>225</v>
      </c>
      <c r="E61" s="6" t="n">
        <f aca="false">-A61*$E$1-($G$1*TAN(RADIANS($H$1)))-$J$1</f>
        <v>-832.550960055264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B62*$E$1</f>
        <v>2.16639</v>
      </c>
      <c r="D62" s="6" t="n">
        <f aca="false">$G$1+$K$1+$L$1</f>
        <v>225</v>
      </c>
      <c r="E62" s="6" t="n">
        <f aca="false">-A62*$E$1-($G$1*TAN(RADIANS($H$1)))-$J$1</f>
        <v>-831.878930055264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B63*$E$1</f>
        <v>1.8297</v>
      </c>
      <c r="D63" s="6" t="n">
        <f aca="false">$G$1+$K$1+$L$1</f>
        <v>225</v>
      </c>
      <c r="E63" s="6" t="n">
        <f aca="false">-A63*$E$1-($G$1*TAN(RADIANS($H$1)))-$J$1</f>
        <v>-831.307610055264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B64*$E$1</f>
        <v>1.48239</v>
      </c>
      <c r="D64" s="6" t="n">
        <f aca="false">$G$1+$K$1+$L$1</f>
        <v>225</v>
      </c>
      <c r="E64" s="6" t="n">
        <f aca="false">-A64*$E$1-($G$1*TAN(RADIANS($H$1)))-$J$1</f>
        <v>-830.838350055264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B65*$E$1</f>
        <v>1.12509</v>
      </c>
      <c r="D65" s="6" t="n">
        <f aca="false">$G$1+$K$1+$L$1</f>
        <v>225</v>
      </c>
      <c r="E65" s="6" t="n">
        <f aca="false">-A65*$E$1-($G$1*TAN(RADIANS($H$1)))-$J$1</f>
        <v>-830.472230055264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B66*$E$1</f>
        <v>0.75861</v>
      </c>
      <c r="D66" s="6" t="n">
        <f aca="false">$G$1+$K$1+$L$1</f>
        <v>225</v>
      </c>
      <c r="E66" s="6" t="n">
        <f aca="false">-A66*$E$1-($G$1*TAN(RADIANS($H$1)))-$J$1</f>
        <v>-830.210060055264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B67*$E$1</f>
        <v>0.3834</v>
      </c>
      <c r="D67" s="6" t="n">
        <f aca="false">$G$1+$K$1+$L$1</f>
        <v>225</v>
      </c>
      <c r="E67" s="6" t="n">
        <f aca="false">-A67*$E$1-($G$1*TAN(RADIANS($H$1)))-$J$1</f>
        <v>-830.052560055264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B68*$E$1</f>
        <v>0</v>
      </c>
      <c r="D68" s="6" t="n">
        <f aca="false">$G$1+$K$1+$L$1</f>
        <v>225</v>
      </c>
      <c r="E68" s="6" t="n">
        <f aca="false">-A68*$E$1-($G$1*TAN(RADIANS($H$1)))-$J$1</f>
        <v>-830.000000055264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B69*$E$1</f>
        <v>-0.3834</v>
      </c>
      <c r="D69" s="6" t="n">
        <f aca="false">$G$1+$K$1+$L$1</f>
        <v>225</v>
      </c>
      <c r="E69" s="6" t="n">
        <f aca="false">-A69*$E$1-($G$1*TAN(RADIANS($H$1)))-$J$1</f>
        <v>-830.052560055264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B70*$E$1</f>
        <v>-0.75861</v>
      </c>
      <c r="D70" s="6" t="n">
        <f aca="false">$G$1+$K$1+$L$1</f>
        <v>225</v>
      </c>
      <c r="E70" s="6" t="n">
        <f aca="false">-A70*$E$1-($G$1*TAN(RADIANS($H$1)))-$J$1</f>
        <v>-830.210060055264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B71*$E$1</f>
        <v>-1.12509</v>
      </c>
      <c r="D71" s="6" t="n">
        <f aca="false">$G$1+$K$1+$L$1</f>
        <v>225</v>
      </c>
      <c r="E71" s="6" t="n">
        <f aca="false">-A71*$E$1-($G$1*TAN(RADIANS($H$1)))-$J$1</f>
        <v>-830.472230055264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B72*$E$1</f>
        <v>-1.48239</v>
      </c>
      <c r="D72" s="6" t="n">
        <f aca="false">$G$1+$K$1+$L$1</f>
        <v>225</v>
      </c>
      <c r="E72" s="6" t="n">
        <f aca="false">-A72*$E$1-($G$1*TAN(RADIANS($H$1)))-$J$1</f>
        <v>-830.838350055264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B73*$E$1</f>
        <v>-1.8297</v>
      </c>
      <c r="D73" s="6" t="n">
        <f aca="false">$G$1+$K$1+$L$1</f>
        <v>225</v>
      </c>
      <c r="E73" s="6" t="n">
        <f aca="false">-A73*$E$1-($G$1*TAN(RADIANS($H$1)))-$J$1</f>
        <v>-831.307610055264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B74*$E$1</f>
        <v>-2.16639</v>
      </c>
      <c r="D74" s="6" t="n">
        <f aca="false">$G$1+$K$1+$L$1</f>
        <v>225</v>
      </c>
      <c r="E74" s="6" t="n">
        <f aca="false">-A74*$E$1-($G$1*TAN(RADIANS($H$1)))-$J$1</f>
        <v>-831.878930055264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B75*$E$1</f>
        <v>-2.49147</v>
      </c>
      <c r="D75" s="6" t="n">
        <f aca="false">$G$1+$K$1+$L$1</f>
        <v>225</v>
      </c>
      <c r="E75" s="6" t="n">
        <f aca="false">-A75*$E$1-($G$1*TAN(RADIANS($H$1)))-$J$1</f>
        <v>-832.550960055264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B76*$E$1</f>
        <v>-2.80404</v>
      </c>
      <c r="D76" s="6" t="n">
        <f aca="false">$G$1+$K$1+$L$1</f>
        <v>225</v>
      </c>
      <c r="E76" s="6" t="n">
        <f aca="false">-A76*$E$1-($G$1*TAN(RADIANS($H$1)))-$J$1</f>
        <v>-833.322170055264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B77*$E$1</f>
        <v>-3.10311</v>
      </c>
      <c r="D77" s="6" t="n">
        <f aca="false">$G$1+$K$1+$L$1</f>
        <v>225</v>
      </c>
      <c r="E77" s="6" t="n">
        <f aca="false">-A77*$E$1-($G$1*TAN(RADIANS($H$1)))-$J$1</f>
        <v>-834.190670055264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B78*$E$1</f>
        <v>-3.38769</v>
      </c>
      <c r="D78" s="6" t="n">
        <f aca="false">$G$1+$K$1+$L$1</f>
        <v>225</v>
      </c>
      <c r="E78" s="6" t="n">
        <f aca="false">-A78*$E$1-($G$1*TAN(RADIANS($H$1)))-$J$1</f>
        <v>-835.154480055264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B79*$E$1</f>
        <v>-3.65679</v>
      </c>
      <c r="D79" s="6" t="n">
        <f aca="false">$G$1+$K$1+$L$1</f>
        <v>225</v>
      </c>
      <c r="E79" s="6" t="n">
        <f aca="false">-A79*$E$1-($G$1*TAN(RADIANS($H$1)))-$J$1</f>
        <v>-836.211350055264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B80*$E$1</f>
        <v>-3.90933</v>
      </c>
      <c r="D80" s="6" t="n">
        <f aca="false">$G$1+$K$1+$L$1</f>
        <v>225</v>
      </c>
      <c r="E80" s="6" t="n">
        <f aca="false">-A80*$E$1-($G$1*TAN(RADIANS($H$1)))-$J$1</f>
        <v>-837.358850055264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B81*$E$1</f>
        <v>-4.14441</v>
      </c>
      <c r="D81" s="6" t="n">
        <f aca="false">$G$1+$K$1+$L$1</f>
        <v>225</v>
      </c>
      <c r="E81" s="6" t="n">
        <f aca="false">-A81*$E$1-($G$1*TAN(RADIANS($H$1)))-$J$1</f>
        <v>-838.594280055264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B82*$E$1</f>
        <v>-4.36113</v>
      </c>
      <c r="D82" s="6" t="n">
        <f aca="false">$G$1+$K$1+$L$1</f>
        <v>225</v>
      </c>
      <c r="E82" s="6" t="n">
        <f aca="false">-A82*$E$1-($G$1*TAN(RADIANS($H$1)))-$J$1</f>
        <v>-839.914670055264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B83*$E$1</f>
        <v>-4.55859</v>
      </c>
      <c r="D83" s="6" t="n">
        <f aca="false">$G$1+$K$1+$L$1</f>
        <v>225</v>
      </c>
      <c r="E83" s="6" t="n">
        <f aca="false">-A83*$E$1-($G$1*TAN(RADIANS($H$1)))-$J$1</f>
        <v>-841.317050055264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B84*$E$1</f>
        <v>-4.73625</v>
      </c>
      <c r="D84" s="6" t="n">
        <f aca="false">$G$1+$K$1+$L$1</f>
        <v>225</v>
      </c>
      <c r="E84" s="6" t="n">
        <f aca="false">-A84*$E$1-($G$1*TAN(RADIANS($H$1)))-$J$1</f>
        <v>-842.798090055264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B85*$E$1</f>
        <v>-4.89348</v>
      </c>
      <c r="D85" s="6" t="n">
        <f aca="false">$G$1+$K$1+$L$1</f>
        <v>225</v>
      </c>
      <c r="E85" s="6" t="n">
        <f aca="false">-A85*$E$1-($G$1*TAN(RADIANS($H$1)))-$J$1</f>
        <v>-844.354280055264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B86*$E$1</f>
        <v>-5.02974</v>
      </c>
      <c r="D86" s="6" t="n">
        <f aca="false">$G$1+$K$1+$L$1</f>
        <v>225</v>
      </c>
      <c r="E86" s="6" t="n">
        <f aca="false">-A86*$E$1-($G$1*TAN(RADIANS($H$1)))-$J$1</f>
        <v>-845.982110055264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B87*$E$1</f>
        <v>-5.14476</v>
      </c>
      <c r="D87" s="6" t="n">
        <f aca="false">$G$1+$K$1+$L$1</f>
        <v>225</v>
      </c>
      <c r="E87" s="6" t="n">
        <f aca="false">-A87*$E$1-($G$1*TAN(RADIANS($H$1)))-$J$1</f>
        <v>-847.677710055264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B88*$E$1</f>
        <v>-5.23845</v>
      </c>
      <c r="D88" s="6" t="n">
        <f aca="false">$G$1+$K$1+$L$1</f>
        <v>225</v>
      </c>
      <c r="E88" s="6" t="n">
        <f aca="false">-A88*$E$1-($G$1*TAN(RADIANS($H$1)))-$J$1</f>
        <v>-849.437120055264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B89*$E$1</f>
        <v>-5.31072</v>
      </c>
      <c r="D89" s="6" t="n">
        <f aca="false">$G$1+$K$1+$L$1</f>
        <v>225</v>
      </c>
      <c r="E89" s="6" t="n">
        <f aca="false">-A89*$E$1-($G$1*TAN(RADIANS($H$1)))-$J$1</f>
        <v>-851.256200055264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B90*$E$1</f>
        <v>-5.36184</v>
      </c>
      <c r="D90" s="6" t="n">
        <f aca="false">$G$1+$K$1+$L$1</f>
        <v>225</v>
      </c>
      <c r="E90" s="6" t="n">
        <f aca="false">-A90*$E$1-($G$1*TAN(RADIANS($H$1)))-$J$1</f>
        <v>-853.130720055264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B91*$E$1</f>
        <v>-5.3919</v>
      </c>
      <c r="D91" s="6" t="n">
        <f aca="false">$G$1+$K$1+$L$1</f>
        <v>225</v>
      </c>
      <c r="E91" s="6" t="n">
        <f aca="false">-A91*$E$1-($G$1*TAN(RADIANS($H$1)))-$J$1</f>
        <v>-855.056360055264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B92*$E$1</f>
        <v>-5.40153</v>
      </c>
      <c r="D92" s="6" t="n">
        <f aca="false">$G$1+$K$1+$L$1</f>
        <v>225</v>
      </c>
      <c r="E92" s="6" t="n">
        <f aca="false">-A92*$E$1-($G$1*TAN(RADIANS($H$1)))-$J$1</f>
        <v>-857.028620055264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B93*$E$1</f>
        <v>-5.39127</v>
      </c>
      <c r="D93" s="6" t="n">
        <f aca="false">$G$1+$K$1+$L$1</f>
        <v>225</v>
      </c>
      <c r="E93" s="6" t="n">
        <f aca="false">-A93*$E$1-($G$1*TAN(RADIANS($H$1)))-$J$1</f>
        <v>-859.042820055264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B94*$E$1</f>
        <v>-5.36175</v>
      </c>
      <c r="D94" s="6" t="n">
        <f aca="false">$G$1+$K$1+$L$1</f>
        <v>225</v>
      </c>
      <c r="E94" s="6" t="n">
        <f aca="false">-A94*$E$1-($G$1*TAN(RADIANS($H$1)))-$J$1</f>
        <v>-861.094280055264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B95*$E$1</f>
        <v>-5.31378</v>
      </c>
      <c r="D95" s="6" t="n">
        <f aca="false">$G$1+$K$1+$L$1</f>
        <v>225</v>
      </c>
      <c r="E95" s="6" t="n">
        <f aca="false">-A95*$E$1-($G$1*TAN(RADIANS($H$1)))-$J$1</f>
        <v>-863.178140055264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B96*$E$1</f>
        <v>-5.24826</v>
      </c>
      <c r="D96" s="6" t="n">
        <f aca="false">$G$1+$K$1+$L$1</f>
        <v>225</v>
      </c>
      <c r="E96" s="6" t="n">
        <f aca="false">-A96*$E$1-($G$1*TAN(RADIANS($H$1)))-$J$1</f>
        <v>-865.289720055264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B97*$E$1</f>
        <v>-5.16627</v>
      </c>
      <c r="D97" s="6" t="n">
        <f aca="false">$G$1+$K$1+$L$1</f>
        <v>225</v>
      </c>
      <c r="E97" s="6" t="n">
        <f aca="false">-A97*$E$1-($G$1*TAN(RADIANS($H$1)))-$J$1</f>
        <v>-867.423980055264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B98*$E$1</f>
        <v>-5.0688</v>
      </c>
      <c r="D98" s="6" t="n">
        <f aca="false">$G$1+$K$1+$L$1</f>
        <v>225</v>
      </c>
      <c r="E98" s="6" t="n">
        <f aca="false">-A98*$E$1-($G$1*TAN(RADIANS($H$1)))-$J$1</f>
        <v>-869.575880055264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B99*$E$1</f>
        <v>-4.95693</v>
      </c>
      <c r="D99" s="6" t="n">
        <f aca="false">$G$1+$K$1+$L$1</f>
        <v>225</v>
      </c>
      <c r="E99" s="6" t="n">
        <f aca="false">-A99*$E$1-($G$1*TAN(RADIANS($H$1)))-$J$1</f>
        <v>-871.740470055264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B100*$E$1</f>
        <v>-4.83183</v>
      </c>
      <c r="D100" s="6" t="n">
        <f aca="false">$G$1+$K$1+$L$1</f>
        <v>225</v>
      </c>
      <c r="E100" s="6" t="n">
        <f aca="false">-A100*$E$1-($G$1*TAN(RADIANS($H$1)))-$J$1</f>
        <v>-873.912620055264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B101*$E$1</f>
        <v>-4.69458</v>
      </c>
      <c r="D101" s="6" t="n">
        <f aca="false">$G$1+$K$1+$L$1</f>
        <v>225</v>
      </c>
      <c r="E101" s="6" t="n">
        <f aca="false">-A101*$E$1-($G$1*TAN(RADIANS($H$1)))-$J$1</f>
        <v>-876.087380055264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B102*$E$1</f>
        <v>-4.54644</v>
      </c>
      <c r="D102" s="6" t="n">
        <f aca="false">$G$1+$K$1+$L$1</f>
        <v>225</v>
      </c>
      <c r="E102" s="6" t="n">
        <f aca="false">-A102*$E$1-($G$1*TAN(RADIANS($H$1)))-$J$1</f>
        <v>-878.259530055264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B103*$E$1</f>
        <v>-4.38858</v>
      </c>
      <c r="D103" s="6" t="n">
        <f aca="false">$G$1+$K$1+$L$1</f>
        <v>225</v>
      </c>
      <c r="E103" s="6" t="n">
        <f aca="false">-A103*$E$1-($G$1*TAN(RADIANS($H$1)))-$J$1</f>
        <v>-880.424120055264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B104*$E$1</f>
        <v>-4.22208</v>
      </c>
      <c r="D104" s="6" t="n">
        <f aca="false">$G$1+$K$1+$L$1</f>
        <v>225</v>
      </c>
      <c r="E104" s="6" t="n">
        <f aca="false">-A104*$E$1-($G$1*TAN(RADIANS($H$1)))-$J$1</f>
        <v>-882.576110055264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B105*$E$1</f>
        <v>-4.0482</v>
      </c>
      <c r="D105" s="6" t="n">
        <f aca="false">$G$1+$K$1+$L$1</f>
        <v>225</v>
      </c>
      <c r="E105" s="6" t="n">
        <f aca="false">-A105*$E$1-($G$1*TAN(RADIANS($H$1)))-$J$1</f>
        <v>-884.710280055264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B106*$E$1</f>
        <v>-3.86802</v>
      </c>
      <c r="D106" s="6" t="n">
        <f aca="false">$G$1+$K$1+$L$1</f>
        <v>225</v>
      </c>
      <c r="E106" s="6" t="n">
        <f aca="false">-A106*$E$1-($G$1*TAN(RADIANS($H$1)))-$J$1</f>
        <v>-886.821860055264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B107*$E$1</f>
        <v>-3.68253</v>
      </c>
      <c r="D107" s="6" t="n">
        <f aca="false">$G$1+$K$1+$L$1</f>
        <v>225</v>
      </c>
      <c r="E107" s="6" t="n">
        <f aca="false">-A107*$E$1-($G$1*TAN(RADIANS($H$1)))-$J$1</f>
        <v>-888.905810055264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B108*$E$1</f>
        <v>-3.49299</v>
      </c>
      <c r="D108" s="6" t="n">
        <f aca="false">$G$1+$K$1+$L$1</f>
        <v>225</v>
      </c>
      <c r="E108" s="6" t="n">
        <f aca="false">-A108*$E$1-($G$1*TAN(RADIANS($H$1)))-$J$1</f>
        <v>-890.957270055264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B109*$E$1</f>
        <v>-3.3003</v>
      </c>
      <c r="D109" s="6" t="n">
        <f aca="false">$G$1+$K$1+$L$1</f>
        <v>225</v>
      </c>
      <c r="E109" s="6" t="n">
        <f aca="false">-A109*$E$1-($G$1*TAN(RADIANS($H$1)))-$J$1</f>
        <v>-892.971380055264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B110*$E$1</f>
        <v>-3.10554</v>
      </c>
      <c r="D110" s="6" t="n">
        <f aca="false">$G$1+$K$1+$L$1</f>
        <v>225</v>
      </c>
      <c r="E110" s="6" t="n">
        <f aca="false">-A110*$E$1-($G$1*TAN(RADIANS($H$1)))-$J$1</f>
        <v>-894.943640055264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B111*$E$1</f>
        <v>-2.90961</v>
      </c>
      <c r="D111" s="6" t="n">
        <f aca="false">$G$1+$K$1+$L$1</f>
        <v>225</v>
      </c>
      <c r="E111" s="6" t="n">
        <f aca="false">-A111*$E$1-($G$1*TAN(RADIANS($H$1)))-$J$1</f>
        <v>-896.869280055264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B112*$E$1</f>
        <v>-2.71368</v>
      </c>
      <c r="D112" s="6" t="n">
        <f aca="false">$G$1+$K$1+$L$1</f>
        <v>225</v>
      </c>
      <c r="E112" s="6" t="n">
        <f aca="false">-A112*$E$1-($G$1*TAN(RADIANS($H$1)))-$J$1</f>
        <v>-898.743800055264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B113*$E$1</f>
        <v>-2.51847</v>
      </c>
      <c r="D113" s="6" t="n">
        <f aca="false">$G$1+$K$1+$L$1</f>
        <v>225</v>
      </c>
      <c r="E113" s="6" t="n">
        <f aca="false">-A113*$E$1-($G$1*TAN(RADIANS($H$1)))-$J$1</f>
        <v>-900.562880055264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B114*$E$1</f>
        <v>-2.32506</v>
      </c>
      <c r="D114" s="6" t="n">
        <f aca="false">$G$1+$K$1+$L$1</f>
        <v>225</v>
      </c>
      <c r="E114" s="6" t="n">
        <f aca="false">-A114*$E$1-($G$1*TAN(RADIANS($H$1)))-$J$1</f>
        <v>-902.322290055264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B115*$E$1</f>
        <v>-2.13426</v>
      </c>
      <c r="D115" s="6" t="n">
        <f aca="false">$G$1+$K$1+$L$1</f>
        <v>225</v>
      </c>
      <c r="E115" s="6" t="n">
        <f aca="false">-A115*$E$1-($G$1*TAN(RADIANS($H$1)))-$J$1</f>
        <v>-904.017890055264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B116*$E$1</f>
        <v>-1.94715</v>
      </c>
      <c r="D116" s="6" t="n">
        <f aca="false">$G$1+$K$1+$L$1</f>
        <v>225</v>
      </c>
      <c r="E116" s="6" t="n">
        <f aca="false">-A116*$E$1-($G$1*TAN(RADIANS($H$1)))-$J$1</f>
        <v>-905.645720055264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B117*$E$1</f>
        <v>-1.76445</v>
      </c>
      <c r="D117" s="6" t="n">
        <f aca="false">$G$1+$K$1+$L$1</f>
        <v>225</v>
      </c>
      <c r="E117" s="6" t="n">
        <f aca="false">-A117*$E$1-($G$1*TAN(RADIANS($H$1)))-$J$1</f>
        <v>-907.202000055264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B118*$E$1</f>
        <v>-1.58715</v>
      </c>
      <c r="D118" s="6" t="n">
        <f aca="false">$G$1+$K$1+$L$1</f>
        <v>225</v>
      </c>
      <c r="E118" s="6" t="n">
        <f aca="false">-A118*$E$1-($G$1*TAN(RADIANS($H$1)))-$J$1</f>
        <v>-908.682950055264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B119*$E$1</f>
        <v>-1.41615</v>
      </c>
      <c r="D119" s="6" t="n">
        <f aca="false">$G$1+$K$1+$L$1</f>
        <v>225</v>
      </c>
      <c r="E119" s="6" t="n">
        <f aca="false">-A119*$E$1-($G$1*TAN(RADIANS($H$1)))-$J$1</f>
        <v>-910.085330055264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B120*$E$1</f>
        <v>-1.25226</v>
      </c>
      <c r="D120" s="6" t="n">
        <f aca="false">$G$1+$K$1+$L$1</f>
        <v>225</v>
      </c>
      <c r="E120" s="6" t="n">
        <f aca="false">-A120*$E$1-($G$1*TAN(RADIANS($H$1)))-$J$1</f>
        <v>-911.405810055264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B121*$E$1</f>
        <v>-1.09638</v>
      </c>
      <c r="D121" s="6" t="n">
        <f aca="false">$G$1+$K$1+$L$1</f>
        <v>225</v>
      </c>
      <c r="E121" s="6" t="n">
        <f aca="false">-A121*$E$1-($G$1*TAN(RADIANS($H$1)))-$J$1</f>
        <v>-912.641150055264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B122*$E$1</f>
        <v>-0.94941</v>
      </c>
      <c r="D122" s="6" t="n">
        <f aca="false">$G$1+$K$1+$L$1</f>
        <v>225</v>
      </c>
      <c r="E122" s="6" t="n">
        <f aca="false">-A122*$E$1-($G$1*TAN(RADIANS($H$1)))-$J$1</f>
        <v>-913.788650055264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B123*$E$1</f>
        <v>-0.81198</v>
      </c>
      <c r="D123" s="6" t="n">
        <f aca="false">$G$1+$K$1+$L$1</f>
        <v>225</v>
      </c>
      <c r="E123" s="6" t="n">
        <f aca="false">-A123*$E$1-($G$1*TAN(RADIANS($H$1)))-$J$1</f>
        <v>-914.845520055264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B124*$E$1</f>
        <v>-0.68499</v>
      </c>
      <c r="D124" s="6" t="n">
        <f aca="false">$G$1+$K$1+$L$1</f>
        <v>225</v>
      </c>
      <c r="E124" s="6" t="n">
        <f aca="false">-A124*$E$1-($G$1*TAN(RADIANS($H$1)))-$J$1</f>
        <v>-915.809330055264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B125*$E$1</f>
        <v>-0.56916</v>
      </c>
      <c r="D125" s="6" t="n">
        <f aca="false">$G$1+$K$1+$L$1</f>
        <v>225</v>
      </c>
      <c r="E125" s="6" t="n">
        <f aca="false">-A125*$E$1-($G$1*TAN(RADIANS($H$1)))-$J$1</f>
        <v>-916.677830055264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B126*$E$1</f>
        <v>-0.46521</v>
      </c>
      <c r="D126" s="6" t="n">
        <f aca="false">$G$1+$K$1+$L$1</f>
        <v>225</v>
      </c>
      <c r="E126" s="6" t="n">
        <f aca="false">-A126*$E$1-($G$1*TAN(RADIANS($H$1)))-$J$1</f>
        <v>-917.449040055264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B127*$E$1</f>
        <v>-0.37368</v>
      </c>
      <c r="D127" s="6" t="n">
        <f aca="false">$G$1+$K$1+$L$1</f>
        <v>225</v>
      </c>
      <c r="E127" s="6" t="n">
        <f aca="false">-A127*$E$1-($G$1*TAN(RADIANS($H$1)))-$J$1</f>
        <v>-918.121070055264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B128*$E$1</f>
        <v>-0.2952</v>
      </c>
      <c r="D128" s="6" t="n">
        <f aca="false">$G$1+$K$1+$L$1</f>
        <v>225</v>
      </c>
      <c r="E128" s="6" t="n">
        <f aca="false">-A128*$E$1-($G$1*TAN(RADIANS($H$1)))-$J$1</f>
        <v>-918.692390055264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B129*$E$1</f>
        <v>-0.2304</v>
      </c>
      <c r="D129" s="6" t="n">
        <f aca="false">$G$1+$K$1+$L$1</f>
        <v>225</v>
      </c>
      <c r="E129" s="6" t="n">
        <f aca="false">-A129*$E$1-($G$1*TAN(RADIANS($H$1)))-$J$1</f>
        <v>-919.161650055264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B130*$E$1</f>
        <v>-0.17946</v>
      </c>
      <c r="D130" s="6" t="n">
        <f aca="false">$G$1+$K$1+$L$1</f>
        <v>225</v>
      </c>
      <c r="E130" s="6" t="n">
        <f aca="false">-A130*$E$1-($G$1*TAN(RADIANS($H$1)))-$J$1</f>
        <v>-919.527770055264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B131*$E$1</f>
        <v>-0.14283</v>
      </c>
      <c r="D131" s="6" t="n">
        <f aca="false">$G$1+$K$1+$L$1</f>
        <v>225</v>
      </c>
      <c r="E131" s="6" t="n">
        <f aca="false">-A131*$E$1-($G$1*TAN(RADIANS($H$1)))-$J$1</f>
        <v>-919.789940055264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B132*$E$1</f>
        <v>-0.12078</v>
      </c>
      <c r="D132" s="6" t="n">
        <f aca="false">$G$1+$K$1+$L$1</f>
        <v>225</v>
      </c>
      <c r="E132" s="6" t="n">
        <f aca="false">-A132*$E$1-($G$1*TAN(RADIANS($H$1)))-$J$1</f>
        <v>-919.947440055264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B133*$E$1</f>
        <v>0</v>
      </c>
      <c r="D133" s="6" t="n">
        <f aca="false">$G$1+$K$1+$L$1</f>
        <v>225</v>
      </c>
      <c r="E133" s="6" t="n">
        <f aca="false">-A133*$E$1-($G$1*TAN(RADIANS($H$1)))-$J$1</f>
        <v>-920.000000055264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2026-08-01T23:54:39Z</dcterms:created>
  <dc:creator>openpyxl</dc:creator>
  <dc:description/>
  <dc:language>en-US</dc:language>
  <cp:lastModifiedBy/>
  <dcterms:modified xsi:type="dcterms:W3CDTF">2026-08-02T07:09:26Z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