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README" sheetId="1" state="visible" r:id="rId3"/>
    <sheet name="HT_Root" sheetId="2" state="visible" r:id="rId4"/>
    <sheet name="HT_Tip" sheetId="3" state="visible" r:id="rId5"/>
    <sheet name="VT_Root" sheetId="4" state="visible" r:id="rId6"/>
    <sheet name="VT_Ti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<sst xmlns="http://schemas.openxmlformats.org/spreadsheetml/2006/main" count="81" uniqueCount="46">
  <si>
    <t xml:space="preserve">AIRCRAFT_EMPENNAGE_TRANSFORM_MICRO26 — SAE Aero 2026 Micro, guide §8.6</t>
  </si>
  <si>
    <t xml:space="preserve">Derived artifact. Master data lives in skeleton_equations_micro.txt and NACA0012_coords_raw.txt.</t>
  </si>
  <si>
    <t xml:space="preserve">Preferred regeneration path: python3 gen_empennage_xyz.py — it reads the equations file directly and</t>
  </si>
  <si>
    <t xml:space="preserve">writes the same eight .txt streams this workbook exports. Use this workbook to see the transform, or</t>
  </si>
  <si>
    <t xml:space="preserve">to follow §8.6 Part A by hand.</t>
  </si>
  <si>
    <t xml:space="preserve">WHICH CELLS TO EDIT</t>
  </si>
  <si>
    <t xml:space="preserve">Blue-on-yellow cells in Row 1 of each sheet (E1..K1) are the only inputs; everything else is a formula.</t>
  </si>
  <si>
    <t xml:space="preserve">Re-enter Row 1 from Tools ▸ Equations ▸ Value column whenever a tail global moves.</t>
  </si>
  <si>
    <t xml:space="preserve">Columns A/B hold the normalised NACA 0012 loop in rows 3..133. LE apex row = 68.</t>
  </si>
  <si>
    <t xml:space="preserve">Trailing edge is CLOSED: B3 and B133 are overridden to 0 (the raw file carries ±0.00126).</t>
  </si>
  <si>
    <t xml:space="preserve">INCIDENCE SENSE — READ BEFORE CHANGING F1</t>
  </si>
  <si>
    <t xml:space="preserve">i_HT is stored in the equations file as a POSITIVE magnitude (+2.0) under the positive-magnitude rule;</t>
  </si>
  <si>
    <t xml:space="preserve">the nose-DOWN direction is carried by the Flip on PLN_Incidence_HT. A spreadsheet has no plane to flip,</t>
  </si>
  <si>
    <t xml:space="preserve">so F1 on both HT sheets is entered as the NEGATIVE of i_HT. A positive F1 here builds a nose-UP</t>
  </si>
  <si>
    <t xml:space="preserve">stabiliser. Do not make i_HT negative in the equations file — check.py will fail.</t>
  </si>
  <si>
    <t xml:space="preserve">SOURCE OF THE ROW 1 VALUES — resolved from skeleton_equations_micro.txt</t>
  </si>
  <si>
    <t xml:space="preserve">    c_root_HT      = 176.426266</t>
  </si>
  <si>
    <t xml:space="preserve">    c_tip_HT       = 176.426266</t>
  </si>
  <si>
    <t xml:space="preserve">    c_root_VT      = 175.784846</t>
  </si>
  <si>
    <t xml:space="preserve">    c_tip_VT       = 93.165968</t>
  </si>
  <si>
    <t xml:space="preserve">    b_semi_HT      = 207.300863</t>
  </si>
  <si>
    <t xml:space="preserve">    b_VT           = 207.092127</t>
  </si>
  <si>
    <t xml:space="preserve">    i_HT           = 2.000000</t>
  </si>
  <si>
    <t xml:space="preserve">    sweep_HT       = 0.000000</t>
  </si>
  <si>
    <t xml:space="preserve">    sweep_VT       = 16.700000</t>
  </si>
  <si>
    <t xml:space="preserve">    dihedral_HT    = 0.000000</t>
  </si>
  <si>
    <t xml:space="preserve">    x_HT_LE_root   = 848.131928</t>
  </si>
  <si>
    <t xml:space="preserve">    x_VT_LE_root   = 848.292283</t>
  </si>
  <si>
    <t xml:space="preserve">    h_tail_top     = 35.789150</t>
  </si>
  <si>
    <t xml:space="preserve">HT root — NACA 0012</t>
  </si>
  <si>
    <t xml:space="preserve">x_norm</t>
  </si>
  <si>
    <t xml:space="preserve">y_norm</t>
  </si>
  <si>
    <t xml:space="preserve">SW X</t>
  </si>
  <si>
    <t xml:space="preserve">SW Y</t>
  </si>
  <si>
    <t xml:space="preserve">SW Z</t>
  </si>
  <si>
    <t xml:space="preserve">F1 incidence [deg]</t>
  </si>
  <si>
    <t xml:space="preserve">G1 span station [mm]</t>
  </si>
  <si>
    <t xml:space="preserve">H1 LE sweep [deg]</t>
  </si>
  <si>
    <t xml:space="preserve">I1 dihedral [deg]</t>
  </si>
  <si>
    <t xml:space="preserve">J1 root-LE station [mm]</t>
  </si>
  <si>
    <t xml:space="preserve">TE closed to 0 in B3 and B133 — see _README</t>
  </si>
  <si>
    <t xml:space="preserve">LE apex row = 68; split both streams there, including it twice</t>
  </si>
  <si>
    <t xml:space="preserve">HT tip — NACA 0012</t>
  </si>
  <si>
    <t xml:space="preserve">VT root — NACA 0012</t>
  </si>
  <si>
    <t xml:space="preserve">K1 fin-root seat [mm]</t>
  </si>
  <si>
    <t xml:space="preserve">VT tip — NACA 0012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</si>
</sst>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13"/>
    <col collapsed="false" customWidth="true" hidden="false" outlineLevel="0" max="11" min="6" style="0" width="17"/>
  </cols>
  <sheetData>
    <row r="1" customFormat="false" ht="15" hidden="false" customHeight="false" outlineLevel="0" collapsed="false">
      <c r="A1" s="1" t="s">
        <v>29</v>
      </c>
      <c r="E1" s="3" t="n">
        <v>176.426266456864</v>
      </c>
      <c r="F1" s="3" t="n">
        <v>-2</v>
      </c>
      <c r="G1" s="3" t="n">
        <v>0</v>
      </c>
      <c r="H1" s="3" t="n">
        <v>0</v>
      </c>
      <c r="I1" s="3" t="n">
        <v>0</v>
      </c>
      <c r="J1" s="3" t="n">
        <v>848.131927603976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customFormat="false" ht="15" hidden="false" customHeight="false" outlineLevel="0" collapsed="false">
      <c r="A3" s="5" t="n">
        <v>1</v>
      </c>
      <c r="B3" s="6" t="n">
        <v>0</v>
      </c>
      <c r="C3" s="5" t="n">
        <f aca="false">$G$1</f>
        <v>0</v>
      </c>
      <c r="D3" s="5" t="n">
        <f aca="false">(( -A3 - (-0.25) ) * SIN(RADIANS($F$1)) + (B3 - 0) * COS(RADIANS($F$1)) - 0.25 * SIN(RADIANS($F$1))) * $E$1 + ($G$1 * TAN(RADIANS($I$1)))</f>
        <v>6.15718790444588</v>
      </c>
      <c r="E3" s="5" t="n">
        <f aca="false">(( -A3 - (-0.25) ) * COS(RADIANS($F$1)) - (B3 - 0) * SIN(RADIANS($F$1)) + (-0.25)) * $E$1 - ($G$1 * TAN(RADIANS($H$1))) - $J$1</f>
        <v>-1024.47758847485</v>
      </c>
      <c r="G3" s="4" t="s">
        <v>40</v>
      </c>
    </row>
    <row r="4" customFormat="false" ht="15" hidden="false" customHeight="false" outlineLevel="0" collapsed="false">
      <c r="A4" s="5" t="n">
        <v>0.999416</v>
      </c>
      <c r="B4" s="5" t="n">
        <v>0.001342</v>
      </c>
      <c r="C4" s="5" t="n">
        <f aca="false">$G$1</f>
        <v>0</v>
      </c>
      <c r="D4" s="5" t="n">
        <f aca="false">(( -A4 - (-0.25) ) * SIN(RADIANS($F$1)) + (B4 - 0) * COS(RADIANS($F$1)) - 0.25 * SIN(RADIANS($F$1))) * $E$1 + ($G$1 * TAN(RADIANS($I$1)))</f>
        <v>6.39021192603294</v>
      </c>
      <c r="E4" s="5" t="n">
        <f aca="false">(( -A4 - (-0.25) ) * COS(RADIANS($F$1)) - (B4 - 0) * SIN(RADIANS($F$1)) + (-0.25)) * $E$1 - ($G$1 * TAN(RADIANS($H$1))) - $J$1</f>
        <v>-1024.36635535396</v>
      </c>
      <c r="G4" s="4" t="s">
        <v>41</v>
      </c>
    </row>
    <row r="5" customFormat="false" ht="15" hidden="false" customHeight="false" outlineLevel="0" collapsed="false">
      <c r="A5" s="5" t="n">
        <v>0.997666</v>
      </c>
      <c r="B5" s="5" t="n">
        <v>0.001587</v>
      </c>
      <c r="C5" s="5" t="n">
        <f aca="false">$G$1</f>
        <v>0</v>
      </c>
      <c r="D5" s="5" t="n">
        <f aca="false">(( -A5 - (-0.25) ) * SIN(RADIANS($F$1)) + (B5 - 0) * COS(RADIANS($F$1)) - 0.25 * SIN(RADIANS($F$1))) * $E$1 + ($G$1 * TAN(RADIANS($I$1)))</f>
        <v>6.422634951324</v>
      </c>
      <c r="E5" s="5" t="n">
        <f aca="false">(( -A5 - (-0.25) ) * COS(RADIANS($F$1)) - (B5 - 0) * SIN(RADIANS($F$1)) + (-0.25)) * $E$1 - ($G$1 * TAN(RADIANS($H$1))) - $J$1</f>
        <v>-1024.05628895632</v>
      </c>
    </row>
    <row r="6" customFormat="false" ht="15" hidden="false" customHeight="false" outlineLevel="0" collapsed="false">
      <c r="A6" s="5" t="n">
        <v>0.994753</v>
      </c>
      <c r="B6" s="5" t="n">
        <v>0.001994</v>
      </c>
      <c r="C6" s="5" t="n">
        <f aca="false">$G$1</f>
        <v>0</v>
      </c>
      <c r="D6" s="5" t="n">
        <f aca="false">(( -A6 - (-0.25) ) * SIN(RADIANS($F$1)) + (B6 - 0) * COS(RADIANS($F$1)) - 0.25 * SIN(RADIANS($F$1))) * $E$1 + ($G$1 * TAN(RADIANS($I$1)))</f>
        <v>6.47646081144163</v>
      </c>
      <c r="E6" s="5" t="n">
        <f aca="false">(( -A6 - (-0.25) ) * COS(RADIANS($F$1)) - (B6 - 0) * SIN(RADIANS($F$1)) + (-0.25)) * $E$1 - ($G$1 * TAN(RADIANS($H$1))) - $J$1</f>
        <v>-1023.54016633875</v>
      </c>
    </row>
    <row r="7" customFormat="false" ht="15" hidden="false" customHeight="false" outlineLevel="0" collapsed="false">
      <c r="A7" s="5" t="n">
        <v>0.990685</v>
      </c>
      <c r="B7" s="5" t="n">
        <v>0.00256</v>
      </c>
      <c r="C7" s="5" t="n">
        <f aca="false">$G$1</f>
        <v>0</v>
      </c>
      <c r="D7" s="5" t="n">
        <f aca="false">(( -A7 - (-0.25) ) * SIN(RADIANS($F$1)) + (B7 - 0) * COS(RADIANS($F$1)) - 0.25 * SIN(RADIANS($F$1))) * $E$1 + ($G$1 * TAN(RADIANS($I$1)))</f>
        <v>6.55120980751204</v>
      </c>
      <c r="E7" s="5" t="n">
        <f aca="false">(( -A7 - (-0.25) ) * COS(RADIANS($F$1)) - (B7 - 0) * SIN(RADIANS($F$1)) + (-0.25)) * $E$1 - ($G$1 * TAN(RADIANS($H$1))) - $J$1</f>
        <v>-1022.81941652315</v>
      </c>
    </row>
    <row r="8" customFormat="false" ht="15" hidden="false" customHeight="false" outlineLevel="0" collapsed="false">
      <c r="A8" s="5" t="n">
        <v>0.985471</v>
      </c>
      <c r="B8" s="5" t="n">
        <v>0.00328</v>
      </c>
      <c r="C8" s="5" t="n">
        <f aca="false">$G$1</f>
        <v>0</v>
      </c>
      <c r="D8" s="5" t="n">
        <f aca="false">(( -A8 - (-0.25) ) * SIN(RADIANS($F$1)) + (B8 - 0) * COS(RADIANS($F$1)) - 0.25 * SIN(RADIANS($F$1))) * $E$1 + ($G$1 * TAN(RADIANS($I$1)))</f>
        <v>6.64605576026466</v>
      </c>
      <c r="E8" s="5" t="n">
        <f aca="false">(( -A8 - (-0.25) ) * COS(RADIANS($F$1)) - (B8 - 0) * SIN(RADIANS($F$1)) + (-0.25)) * $E$1 - ($G$1 * TAN(RADIANS($H$1))) - $J$1</f>
        <v>-1021.89565716459</v>
      </c>
    </row>
    <row r="9" customFormat="false" ht="15" hidden="false" customHeight="false" outlineLevel="0" collapsed="false">
      <c r="A9" s="5" t="n">
        <v>0.979123</v>
      </c>
      <c r="B9" s="5" t="n">
        <v>0.004152</v>
      </c>
      <c r="C9" s="5" t="n">
        <f aca="false">$G$1</f>
        <v>0</v>
      </c>
      <c r="D9" s="5" t="n">
        <f aca="false">(( -A9 - (-0.25) ) * SIN(RADIANS($F$1)) + (B9 - 0) * COS(RADIANS($F$1)) - 0.25 * SIN(RADIANS($F$1))) * $E$1 + ($G$1 * TAN(RADIANS($I$1)))</f>
        <v>6.76071991836965</v>
      </c>
      <c r="E9" s="5" t="n">
        <f aca="false">(( -A9 - (-0.25) ) * COS(RADIANS($F$1)) - (B9 - 0) * SIN(RADIANS($F$1)) + (-0.25)) * $E$1 - ($G$1 * TAN(RADIANS($H$1))) - $J$1</f>
        <v>-1020.77101640295</v>
      </c>
    </row>
    <row r="10" customFormat="false" ht="15" hidden="false" customHeight="false" outlineLevel="0" collapsed="false">
      <c r="A10" s="5" t="n">
        <v>0.971656</v>
      </c>
      <c r="B10" s="5" t="n">
        <v>0.005169</v>
      </c>
      <c r="C10" s="5" t="n">
        <f aca="false">$G$1</f>
        <v>0</v>
      </c>
      <c r="D10" s="5" t="n">
        <f aca="false">(( -A10 - (-0.25) ) * SIN(RADIANS($F$1)) + (B10 - 0) * COS(RADIANS($F$1)) - 0.25 * SIN(RADIANS($F$1))) * $E$1 + ($G$1 * TAN(RADIANS($I$1)))</f>
        <v>6.89406040809918</v>
      </c>
      <c r="E10" s="5" t="n">
        <f aca="false">(( -A10 - (-0.25) ) * COS(RADIANS($F$1)) - (B10 - 0) * SIN(RADIANS($F$1)) + (-0.25)) * $E$1 - ($G$1 * TAN(RADIANS($H$1))) - $J$1</f>
        <v>-1019.44818212043</v>
      </c>
    </row>
    <row r="11" customFormat="false" ht="15" hidden="false" customHeight="false" outlineLevel="0" collapsed="false">
      <c r="A11" s="5" t="n">
        <v>0.963087</v>
      </c>
      <c r="B11" s="5" t="n">
        <v>0.006324</v>
      </c>
      <c r="C11" s="5" t="n">
        <f aca="false">$G$1</f>
        <v>0</v>
      </c>
      <c r="D11" s="5" t="n">
        <f aca="false">(( -A11 - (-0.25) ) * SIN(RADIANS($F$1)) + (B11 - 0) * COS(RADIANS($F$1)) - 0.25 * SIN(RADIANS($F$1))) * $E$1 + ($G$1 * TAN(RADIANS($I$1)))</f>
        <v>7.04494767010125</v>
      </c>
      <c r="E11" s="5" t="n">
        <f aca="false">(( -A11 - (-0.25) ) * COS(RADIANS($F$1)) - (B11 - 0) * SIN(RADIANS($F$1)) + (-0.25)) * $E$1 - ($G$1 * TAN(RADIANS($H$1))) - $J$1</f>
        <v>-1017.93019483682</v>
      </c>
    </row>
    <row r="12" customFormat="false" ht="15" hidden="false" customHeight="false" outlineLevel="0" collapsed="false">
      <c r="A12" s="5" t="n">
        <v>0.953437</v>
      </c>
      <c r="B12" s="5" t="n">
        <v>0.007611</v>
      </c>
      <c r="C12" s="5" t="n">
        <f aca="false">$G$1</f>
        <v>0</v>
      </c>
      <c r="D12" s="5" t="n">
        <f aca="false">(( -A12 - (-0.25) ) * SIN(RADIANS($F$1)) + (B12 - 0) * COS(RADIANS($F$1)) - 0.25 * SIN(RADIANS($F$1))) * $E$1 + ($G$1 * TAN(RADIANS($I$1)))</f>
        <v>7.21245309256778</v>
      </c>
      <c r="E12" s="5" t="n">
        <f aca="false">(( -A12 - (-0.25) ) * COS(RADIANS($F$1)) - (B12 - 0) * SIN(RADIANS($F$1)) + (-0.25)) * $E$1 - ($G$1 * TAN(RADIANS($H$1))) - $J$1</f>
        <v>-1016.22079418988</v>
      </c>
    </row>
    <row r="13" customFormat="false" ht="15" hidden="false" customHeight="false" outlineLevel="0" collapsed="false">
      <c r="A13" s="5" t="n">
        <v>0.942728</v>
      </c>
      <c r="B13" s="5" t="n">
        <v>0.009022</v>
      </c>
      <c r="C13" s="5" t="n">
        <f aca="false">$G$1</f>
        <v>0</v>
      </c>
      <c r="D13" s="5" t="n">
        <f aca="false">(( -A13 - (-0.25) ) * SIN(RADIANS($F$1)) + (B13 - 0) * COS(RADIANS($F$1)) - 0.25 * SIN(RADIANS($F$1))) * $E$1 + ($G$1 * TAN(RADIANS($I$1)))</f>
        <v>7.39530158329393</v>
      </c>
      <c r="E13" s="5" t="n">
        <f aca="false">(( -A13 - (-0.25) ) * COS(RADIANS($F$1)) - (B13 - 0) * SIN(RADIANS($F$1)) + (-0.25)) * $E$1 - ($G$1 * TAN(RADIANS($H$1))) - $J$1</f>
        <v>-1014.32390845056</v>
      </c>
    </row>
    <row r="14" customFormat="false" ht="15" hidden="false" customHeight="false" outlineLevel="0" collapsed="false">
      <c r="A14" s="5" t="n">
        <v>0.930985</v>
      </c>
      <c r="B14" s="5" t="n">
        <v>0.010549</v>
      </c>
      <c r="C14" s="5" t="n">
        <f aca="false">$G$1</f>
        <v>0</v>
      </c>
      <c r="D14" s="5" t="n">
        <f aca="false">(( -A14 - (-0.25) ) * SIN(RADIANS($F$1)) + (B14 - 0) * COS(RADIANS($F$1)) - 0.25 * SIN(RADIANS($F$1))) * $E$1 + ($G$1 * TAN(RADIANS($I$1)))</f>
        <v>7.59223652163859</v>
      </c>
      <c r="E14" s="5" t="n">
        <f aca="false">(( -A14 - (-0.25) ) * COS(RADIANS($F$1)) - (B14 - 0) * SIN(RADIANS($F$1)) + (-0.25)) * $E$1 - ($G$1 * TAN(RADIANS($H$1))) - $J$1</f>
        <v>-1012.24399484615</v>
      </c>
    </row>
    <row r="15" customFormat="false" ht="15" hidden="false" customHeight="false" outlineLevel="0" collapsed="false">
      <c r="A15" s="5" t="n">
        <v>0.918235</v>
      </c>
      <c r="B15" s="5" t="n">
        <v>0.012182</v>
      </c>
      <c r="C15" s="5" t="n">
        <f aca="false">$G$1</f>
        <v>0</v>
      </c>
      <c r="D15" s="5" t="n">
        <f aca="false">(( -A15 - (-0.25) ) * SIN(RADIANS($F$1)) + (B15 - 0) * COS(RADIANS($F$1)) - 0.25 * SIN(RADIANS($F$1))) * $E$1 + ($G$1 * TAN(RADIANS($I$1)))</f>
        <v>7.80166096375175</v>
      </c>
      <c r="E15" s="5" t="n">
        <f aca="false">(( -A15 - (-0.25) ) * COS(RADIANS($F$1)) - (B15 - 0) * SIN(RADIANS($F$1)) + (-0.25)) * $E$1 - ($G$1 * TAN(RADIANS($H$1))) - $J$1</f>
        <v>-1009.98587555594</v>
      </c>
    </row>
    <row r="16" customFormat="false" ht="15" hidden="false" customHeight="false" outlineLevel="0" collapsed="false">
      <c r="A16" s="5" t="n">
        <v>0.904509</v>
      </c>
      <c r="B16" s="5" t="n">
        <v>0.013914</v>
      </c>
      <c r="C16" s="5" t="n">
        <f aca="false">$G$1</f>
        <v>0</v>
      </c>
      <c r="D16" s="5" t="n">
        <f aca="false">(( -A16 - (-0.25) ) * SIN(RADIANS($F$1)) + (B16 - 0) * COS(RADIANS($F$1)) - 0.25 * SIN(RADIANS($F$1))) * $E$1 + ($G$1 * TAN(RADIANS($I$1)))</f>
        <v>8.02253155091204</v>
      </c>
      <c r="E16" s="5" t="n">
        <f aca="false">(( -A16 - (-0.25) ) * COS(RADIANS($F$1)) - (B16 - 0) * SIN(RADIANS($F$1)) + (-0.25)) * $E$1 - ($G$1 * TAN(RADIANS($H$1))) - $J$1</f>
        <v>-1007.5550595628</v>
      </c>
    </row>
    <row r="17" customFormat="false" ht="15" hidden="false" customHeight="false" outlineLevel="0" collapsed="false">
      <c r="A17" s="5" t="n">
        <v>0.889837</v>
      </c>
      <c r="B17" s="5" t="n">
        <v>0.015735</v>
      </c>
      <c r="C17" s="5" t="n">
        <f aca="false">$G$1</f>
        <v>0</v>
      </c>
      <c r="D17" s="5" t="n">
        <f aca="false">(( -A17 - (-0.25) ) * SIN(RADIANS($F$1)) + (B17 - 0) * COS(RADIANS($F$1)) - 0.25 * SIN(RADIANS($F$1))) * $E$1 + ($G$1 * TAN(RADIANS($I$1)))</f>
        <v>8.25326981083319</v>
      </c>
      <c r="E17" s="5" t="n">
        <f aca="false">(( -A17 - (-0.25) ) * COS(RADIANS($F$1)) - (B17 - 0) * SIN(RADIANS($F$1)) + (-0.25)) * $E$1 - ($G$1 * TAN(RADIANS($H$1))) - $J$1</f>
        <v>-1004.95689800238</v>
      </c>
    </row>
    <row r="18" customFormat="false" ht="15" hidden="false" customHeight="false" outlineLevel="0" collapsed="false">
      <c r="A18" s="5" t="n">
        <v>0.874255</v>
      </c>
      <c r="B18" s="5" t="n">
        <v>0.017635</v>
      </c>
      <c r="C18" s="5" t="n">
        <f aca="false">$G$1</f>
        <v>0</v>
      </c>
      <c r="D18" s="5" t="n">
        <f aca="false">(( -A18 - (-0.25) ) * SIN(RADIANS($F$1)) + (B18 - 0) * COS(RADIANS($F$1)) - 0.25 * SIN(RADIANS($F$1))) * $E$1 + ($G$1 * TAN(RADIANS($I$1)))</f>
        <v>8.49233421435632</v>
      </c>
      <c r="E18" s="5" t="n">
        <f aca="false">(( -A18 - (-0.25) ) * COS(RADIANS($F$1)) - (B18 - 0) * SIN(RADIANS($F$1)) + (-0.25)) * $E$1 - ($G$1 * TAN(RADIANS($H$1))) - $J$1</f>
        <v>-1002.19779992309</v>
      </c>
    </row>
    <row r="19" customFormat="false" ht="15" hidden="false" customHeight="false" outlineLevel="0" collapsed="false">
      <c r="A19" s="5" t="n">
        <v>0.8578</v>
      </c>
      <c r="B19" s="5" t="n">
        <v>0.019605</v>
      </c>
      <c r="C19" s="5" t="n">
        <f aca="false">$G$1</f>
        <v>0</v>
      </c>
      <c r="D19" s="5" t="n">
        <f aca="false">(( -A19 - (-0.25) ) * SIN(RADIANS($F$1)) + (B19 - 0) * COS(RADIANS($F$1)) - 0.25 * SIN(RADIANS($F$1))) * $E$1 + ($G$1 * TAN(RADIANS($I$1)))</f>
        <v>8.73836570830283</v>
      </c>
      <c r="E19" s="5" t="n">
        <f aca="false">(( -A19 - (-0.25) ) * COS(RADIANS($F$1)) - (B19 - 0) * SIN(RADIANS($F$1)) + (-0.25)) * $E$1 - ($G$1 * TAN(RADIANS($H$1))) - $J$1</f>
        <v>-999.284344534925</v>
      </c>
    </row>
    <row r="20" customFormat="false" ht="15" hidden="false" customHeight="false" outlineLevel="0" collapsed="false">
      <c r="A20" s="5" t="n">
        <v>0.840508</v>
      </c>
      <c r="B20" s="5" t="n">
        <v>0.021635</v>
      </c>
      <c r="C20" s="5" t="n">
        <f aca="false">$G$1</f>
        <v>0</v>
      </c>
      <c r="D20" s="5" t="n">
        <f aca="false">(( -A20 - (-0.25) ) * SIN(RADIANS($F$1)) + (B20 - 0) * COS(RADIANS($F$1)) - 0.25 * SIN(RADIANS($F$1))) * $E$1 + ($G$1 * TAN(RADIANS($I$1)))</f>
        <v>8.98982276351385</v>
      </c>
      <c r="E20" s="5" t="n">
        <f aca="false">(( -A20 - (-0.25) ) * COS(RADIANS($F$1)) - (B20 - 0) * SIN(RADIANS($F$1)) + (-0.25)) * $E$1 - ($G$1 * TAN(RADIANS($H$1))) - $J$1</f>
        <v>-996.222940886297</v>
      </c>
    </row>
    <row r="21" customFormat="false" ht="15" hidden="false" customHeight="false" outlineLevel="0" collapsed="false">
      <c r="A21" s="5" t="n">
        <v>0.822421</v>
      </c>
      <c r="B21" s="5" t="n">
        <v>0.023714</v>
      </c>
      <c r="C21" s="5" t="n">
        <f aca="false">$G$1</f>
        <v>0</v>
      </c>
      <c r="D21" s="5" t="n">
        <f aca="false">(( -A21 - (-0.25) ) * SIN(RADIANS($F$1)) + (B21 - 0) * COS(RADIANS($F$1)) - 0.25 * SIN(RADIANS($F$1))) * $E$1 + ($G$1 * TAN(RADIANS($I$1)))</f>
        <v>9.24502447516561</v>
      </c>
      <c r="E21" s="5" t="n">
        <f aca="false">(( -A21 - (-0.25) ) * COS(RADIANS($F$1)) - (B21 - 0) * SIN(RADIANS($F$1)) + (-0.25)) * $E$1 - ($G$1 * TAN(RADIANS($H$1))) - $J$1</f>
        <v>-993.02106209555</v>
      </c>
    </row>
    <row r="22" customFormat="false" ht="15" hidden="false" customHeight="false" outlineLevel="0" collapsed="false">
      <c r="A22" s="5" t="n">
        <v>0.803581</v>
      </c>
      <c r="B22" s="5" t="n">
        <v>0.025834</v>
      </c>
      <c r="C22" s="5" t="n">
        <f aca="false">$G$1</f>
        <v>0</v>
      </c>
      <c r="D22" s="5" t="n">
        <f aca="false">(( -A22 - (-0.25) ) * SIN(RADIANS($F$1)) + (B22 - 0) * COS(RADIANS($F$1)) - 0.25 * SIN(RADIANS($F$1))) * $E$1 + ($G$1 * TAN(RADIANS($I$1)))</f>
        <v>9.50281889481135</v>
      </c>
      <c r="E22" s="5" t="n">
        <f aca="false">(( -A22 - (-0.25) ) * COS(RADIANS($F$1)) - (B22 - 0) * SIN(RADIANS($F$1)) + (-0.25)) * $E$1 - ($G$1 * TAN(RADIANS($H$1))) - $J$1</f>
        <v>-989.686162809465</v>
      </c>
    </row>
    <row r="23" customFormat="false" ht="15" hidden="false" customHeight="false" outlineLevel="0" collapsed="false">
      <c r="A23" s="5" t="n">
        <v>0.784032</v>
      </c>
      <c r="B23" s="5" t="n">
        <v>0.027983</v>
      </c>
      <c r="C23" s="5" t="n">
        <f aca="false">$G$1</f>
        <v>0</v>
      </c>
      <c r="D23" s="5" t="n">
        <f aca="false">(( -A23 - (-0.25) ) * SIN(RADIANS($F$1)) + (B23 - 0) * COS(RADIANS($F$1)) - 0.25 * SIN(RADIANS($F$1))) * $E$1 + ($G$1 * TAN(RADIANS($I$1)))</f>
        <v>9.76136111321076</v>
      </c>
      <c r="E23" s="5" t="n">
        <f aca="false">(( -A23 - (-0.25) ) * COS(RADIANS($F$1)) - (B23 - 0) * SIN(RADIANS($F$1)) + (-0.25)) * $E$1 - ($G$1 * TAN(RADIANS($H$1))) - $J$1</f>
        <v>-986.226074941161</v>
      </c>
    </row>
    <row r="24" customFormat="false" ht="15" hidden="false" customHeight="false" outlineLevel="0" collapsed="false">
      <c r="A24" s="5" t="n">
        <v>0.76382</v>
      </c>
      <c r="B24" s="5" t="n">
        <v>0.030152</v>
      </c>
      <c r="C24" s="5" t="n">
        <f aca="false">$G$1</f>
        <v>0</v>
      </c>
      <c r="D24" s="5" t="n">
        <f aca="false">(( -A24 - (-0.25) ) * SIN(RADIANS($F$1)) + (B24 - 0) * COS(RADIANS($F$1)) - 0.25 * SIN(RADIANS($F$1))) * $E$1 + ($G$1 * TAN(RADIANS($I$1)))</f>
        <v>10.0193474918764</v>
      </c>
      <c r="E24" s="5" t="n">
        <f aca="false">(( -A24 - (-0.25) ) * COS(RADIANS($F$1)) - (B24 - 0) * SIN(RADIANS($F$1)) + (-0.25)) * $E$1 - ($G$1 * TAN(RADIANS($H$1))) - $J$1</f>
        <v>-982.648964569775</v>
      </c>
    </row>
    <row r="25" customFormat="false" ht="15" hidden="false" customHeight="false" outlineLevel="0" collapsed="false">
      <c r="A25" s="5" t="n">
        <v>0.742992</v>
      </c>
      <c r="B25" s="5" t="n">
        <v>0.032329</v>
      </c>
      <c r="C25" s="5" t="n">
        <f aca="false">$G$1</f>
        <v>0</v>
      </c>
      <c r="D25" s="5" t="n">
        <f aca="false">(( -A25 - (-0.25) ) * SIN(RADIANS($F$1)) + (B25 - 0) * COS(RADIANS($F$1)) - 0.25 * SIN(RADIANS($F$1))) * $E$1 + ($G$1 * TAN(RADIANS($I$1)))</f>
        <v>10.2749515931316</v>
      </c>
      <c r="E25" s="5" t="n">
        <f aca="false">(( -A25 - (-0.25) ) * COS(RADIANS($F$1)) - (B25 - 0) * SIN(RADIANS($F$1)) + (-0.25)) * $E$1 - ($G$1 * TAN(RADIANS($H$1))) - $J$1</f>
        <v>-978.963192564803</v>
      </c>
    </row>
    <row r="26" customFormat="false" ht="15" hidden="false" customHeight="false" outlineLevel="0" collapsed="false">
      <c r="A26" s="5" t="n">
        <v>0.721596</v>
      </c>
      <c r="B26" s="5" t="n">
        <v>0.034506</v>
      </c>
      <c r="C26" s="5" t="n">
        <f aca="false">$G$1</f>
        <v>0</v>
      </c>
      <c r="D26" s="5" t="n">
        <f aca="false">(( -A26 - (-0.25) ) * SIN(RADIANS($F$1)) + (B26 - 0) * COS(RADIANS($F$1)) - 0.25 * SIN(RADIANS($F$1))) * $E$1 + ($G$1 * TAN(RADIANS($I$1)))</f>
        <v>10.5270584116571</v>
      </c>
      <c r="E26" s="5" t="n">
        <f aca="false">(( -A26 - (-0.25) ) * COS(RADIANS($F$1)) - (B26 - 0) * SIN(RADIANS($F$1)) + (-0.25)) * $E$1 - ($G$1 * TAN(RADIANS($H$1))) - $J$1</f>
        <v>-975.177271485781</v>
      </c>
    </row>
    <row r="27" customFormat="false" ht="15" hidden="false" customHeight="false" outlineLevel="0" collapsed="false">
      <c r="A27" s="5" t="n">
        <v>0.699682</v>
      </c>
      <c r="B27" s="5" t="n">
        <v>0.03667</v>
      </c>
      <c r="C27" s="5" t="n">
        <f aca="false">$G$1</f>
        <v>0</v>
      </c>
      <c r="D27" s="5" t="n">
        <f aca="false">(( -A27 - (-0.25) ) * SIN(RADIANS($F$1)) + (B27 - 0) * COS(RADIANS($F$1)) - 0.25 * SIN(RADIANS($F$1))) * $E$1 + ($G$1 * TAN(RADIANS($I$1)))</f>
        <v>10.7736836625476</v>
      </c>
      <c r="E27" s="5" t="n">
        <f aca="false">(( -A27 - (-0.25) ) * COS(RADIANS($F$1)) - (B27 - 0) * SIN(RADIANS($F$1)) + (-0.25)) * $E$1 - ($G$1 * TAN(RADIANS($H$1))) - $J$1</f>
        <v>-971.300097315769</v>
      </c>
    </row>
    <row r="28" customFormat="false" ht="15" hidden="false" customHeight="false" outlineLevel="0" collapsed="false">
      <c r="A28" s="5" t="n">
        <v>0.677303</v>
      </c>
      <c r="B28" s="5" t="n">
        <v>0.038811</v>
      </c>
      <c r="C28" s="5" t="n">
        <f aca="false">$G$1</f>
        <v>0</v>
      </c>
      <c r="D28" s="5" t="n">
        <f aca="false">(( -A28 - (-0.25) ) * SIN(RADIANS($F$1)) + (B28 - 0) * COS(RADIANS($F$1)) - 0.25 * SIN(RADIANS($F$1))) * $E$1 + ($G$1 * TAN(RADIANS($I$1)))</f>
        <v>11.0133904888387</v>
      </c>
      <c r="E28" s="5" t="n">
        <f aca="false">(( -A28 - (-0.25) ) * COS(RADIANS($F$1)) - (B28 - 0) * SIN(RADIANS($F$1)) + (-0.25)) * $E$1 - ($G$1 * TAN(RADIANS($H$1))) - $J$1</f>
        <v>-967.341076522639</v>
      </c>
    </row>
    <row r="29" customFormat="false" ht="15" hidden="false" customHeight="false" outlineLevel="0" collapsed="false">
      <c r="A29" s="5" t="n">
        <v>0.654509</v>
      </c>
      <c r="B29" s="5" t="n">
        <v>0.040917</v>
      </c>
      <c r="C29" s="5" t="n">
        <f aca="false">$G$1</f>
        <v>0</v>
      </c>
      <c r="D29" s="5" t="n">
        <f aca="false">(( -A29 - (-0.25) ) * SIN(RADIANS($F$1)) + (B29 - 0) * COS(RADIANS($F$1)) - 0.25 * SIN(RADIANS($F$1))) * $E$1 + ($G$1 * TAN(RADIANS($I$1)))</f>
        <v>11.2443709244174</v>
      </c>
      <c r="E29" s="5" t="n">
        <f aca="false">(( -A29 - (-0.25) ) * COS(RADIANS($F$1)) - (B29 - 0) * SIN(RADIANS($F$1)) + (-0.25)) * $E$1 - ($G$1 * TAN(RADIANS($H$1))) - $J$1</f>
        <v>-963.309098932264</v>
      </c>
    </row>
    <row r="30" customFormat="false" ht="15" hidden="false" customHeight="false" outlineLevel="0" collapsed="false">
      <c r="A30" s="5" t="n">
        <v>0.631354</v>
      </c>
      <c r="B30" s="5" t="n">
        <v>0.042978</v>
      </c>
      <c r="C30" s="5" t="n">
        <f aca="false">$G$1</f>
        <v>0</v>
      </c>
      <c r="D30" s="5" t="n">
        <f aca="false">(( -A30 - (-0.25) ) * SIN(RADIANS($F$1)) + (B30 - 0) * COS(RADIANS($F$1)) - 0.25 * SIN(RADIANS($F$1))) * $E$1 + ($G$1 * TAN(RADIANS($I$1)))</f>
        <v>11.4651942695073</v>
      </c>
      <c r="E30" s="5" t="n">
        <f aca="false">(( -A30 - (-0.25) ) * COS(RADIANS($F$1)) - (B30 - 0) * SIN(RADIANS($F$1)) + (-0.25)) * $E$1 - ($G$1 * TAN(RADIANS($H$1))) - $J$1</f>
        <v>-959.213747331309</v>
      </c>
    </row>
    <row r="31" customFormat="false" ht="15" hidden="false" customHeight="false" outlineLevel="0" collapsed="false">
      <c r="A31" s="5" t="n">
        <v>0.607892</v>
      </c>
      <c r="B31" s="5" t="n">
        <v>0.04498</v>
      </c>
      <c r="C31" s="5" t="n">
        <f aca="false">$G$1</f>
        <v>0</v>
      </c>
      <c r="D31" s="5" t="n">
        <f aca="false">(( -A31 - (-0.25) ) * SIN(RADIANS($F$1)) + (B31 - 0) * COS(RADIANS($F$1)) - 0.25 * SIN(RADIANS($F$1))) * $E$1 + ($G$1 * TAN(RADIANS($I$1)))</f>
        <v>11.6737245491623</v>
      </c>
      <c r="E31" s="5" t="n">
        <f aca="false">(( -A31 - (-0.25) ) * COS(RADIANS($F$1)) - (B31 - 0) * SIN(RADIANS($F$1)) + (-0.25)) * $E$1 - ($G$1 * TAN(RADIANS($H$1))) - $J$1</f>
        <v>-955.064629135191</v>
      </c>
    </row>
    <row r="32" customFormat="false" ht="15" hidden="false" customHeight="false" outlineLevel="0" collapsed="false">
      <c r="A32" s="5" t="n">
        <v>0.584179</v>
      </c>
      <c r="B32" s="5" t="n">
        <v>0.046912</v>
      </c>
      <c r="C32" s="5" t="n">
        <f aca="false">$G$1</f>
        <v>0</v>
      </c>
      <c r="D32" s="5" t="n">
        <f aca="false">(( -A32 - (-0.25) ) * SIN(RADIANS($F$1)) + (B32 - 0) * COS(RADIANS($F$1)) - 0.25 * SIN(RADIANS($F$1))) * $E$1 + ($G$1 * TAN(RADIANS($I$1)))</f>
        <v>11.8683670591894</v>
      </c>
      <c r="E32" s="5" t="n">
        <f aca="false">(( -A32 - (-0.25) ) * COS(RADIANS($F$1)) - (B32 - 0) * SIN(RADIANS($F$1)) + (-0.25)) * $E$1 - ($G$1 * TAN(RADIANS($H$1))) - $J$1</f>
        <v>-950.871685925348</v>
      </c>
    </row>
    <row r="33" customFormat="false" ht="15" hidden="false" customHeight="false" outlineLevel="0" collapsed="false">
      <c r="A33" s="5" t="n">
        <v>0.560268</v>
      </c>
      <c r="B33" s="5" t="n">
        <v>0.048762</v>
      </c>
      <c r="C33" s="5" t="n">
        <f aca="false">$G$1</f>
        <v>0</v>
      </c>
      <c r="D33" s="5" t="n">
        <f aca="false">(( -A33 - (-0.25) ) * SIN(RADIANS($F$1)) + (B33 - 0) * COS(RADIANS($F$1)) - 0.25 * SIN(RADIANS($F$1))) * $E$1 + ($G$1 * TAN(RADIANS($I$1)))</f>
        <v>12.0473323050392</v>
      </c>
      <c r="E33" s="5" t="n">
        <f aca="false">(( -A33 - (-0.25) ) * COS(RADIANS($F$1)) - (B33 - 0) * SIN(RADIANS($F$1)) + (-0.25)) * $E$1 - ($G$1 * TAN(RADIANS($H$1))) - $J$1</f>
        <v>-946.64433648403</v>
      </c>
    </row>
    <row r="34" customFormat="false" ht="15" hidden="false" customHeight="false" outlineLevel="0" collapsed="false">
      <c r="A34" s="5" t="n">
        <v>0.536217</v>
      </c>
      <c r="B34" s="5" t="n">
        <v>0.050516</v>
      </c>
      <c r="C34" s="5" t="n">
        <f aca="false">$G$1</f>
        <v>0</v>
      </c>
      <c r="D34" s="5" t="n">
        <f aca="false">(( -A34 - (-0.25) ) * SIN(RADIANS($F$1)) + (B34 - 0) * COS(RADIANS($F$1)) - 0.25 * SIN(RADIANS($F$1))) * $E$1 + ($G$1 * TAN(RADIANS($I$1)))</f>
        <v>12.2085089405177</v>
      </c>
      <c r="E34" s="5" t="n">
        <f aca="false">(( -A34 - (-0.25) ) * COS(RADIANS($F$1)) - (B34 - 0) * SIN(RADIANS($F$1)) + (-0.25)) * $E$1 - ($G$1 * TAN(RADIANS($H$1))) - $J$1</f>
        <v>-942.392893501823</v>
      </c>
    </row>
    <row r="35" customFormat="false" ht="15" hidden="false" customHeight="false" outlineLevel="0" collapsed="false">
      <c r="A35" s="5" t="n">
        <v>0.512082</v>
      </c>
      <c r="B35" s="5" t="n">
        <v>0.052162</v>
      </c>
      <c r="C35" s="5" t="n">
        <f aca="false">$G$1</f>
        <v>0</v>
      </c>
      <c r="D35" s="5" t="n">
        <f aca="false">(( -A35 - (-0.25) ) * SIN(RADIANS($F$1)) + (B35 - 0) * COS(RADIANS($F$1)) - 0.25 * SIN(RADIANS($F$1))) * $E$1 + ($G$1 * TAN(RADIANS($I$1)))</f>
        <v>12.3501259426392</v>
      </c>
      <c r="E35" s="5" t="n">
        <f aca="false">(( -A35 - (-0.25) ) * COS(RADIANS($F$1)) - (B35 - 0) * SIN(RADIANS($F$1)) + (-0.25)) * $E$1 - ($G$1 * TAN(RADIANS($H$1))) - $J$1</f>
        <v>-938.127304717353</v>
      </c>
    </row>
    <row r="36" customFormat="false" ht="15" hidden="false" customHeight="false" outlineLevel="0" collapsed="false">
      <c r="A36" s="5" t="n">
        <v>0.487918</v>
      </c>
      <c r="B36" s="5" t="n">
        <v>0.053687</v>
      </c>
      <c r="C36" s="5" t="n">
        <f aca="false">$G$1</f>
        <v>0</v>
      </c>
      <c r="D36" s="5" t="n">
        <f aca="false">(( -A36 - (-0.25) ) * SIN(RADIANS($F$1)) + (B36 - 0) * COS(RADIANS($F$1)) - 0.25 * SIN(RADIANS($F$1))) * $E$1 + ($G$1 * TAN(RADIANS($I$1)))</f>
        <v>12.470229812438</v>
      </c>
      <c r="E36" s="5" t="n">
        <f aca="false">(( -A36 - (-0.25) ) * COS(RADIANS($F$1)) - (B36 - 0) * SIN(RADIANS($F$1)) + (-0.25)) * $E$1 - ($G$1 * TAN(RADIANS($H$1))) - $J$1</f>
        <v>-933.857347707642</v>
      </c>
    </row>
    <row r="37" customFormat="false" ht="15" hidden="false" customHeight="false" outlineLevel="0" collapsed="false">
      <c r="A37" s="5" t="n">
        <v>0.463783</v>
      </c>
      <c r="B37" s="5" t="n">
        <v>0.055077</v>
      </c>
      <c r="C37" s="5" t="n">
        <f aca="false">$G$1</f>
        <v>0</v>
      </c>
      <c r="D37" s="5" t="n">
        <f aca="false">(( -A37 - (-0.25) ) * SIN(RADIANS($F$1)) + (B37 - 0) * COS(RADIANS($F$1)) - 0.25 * SIN(RADIANS($F$1))) * $E$1 + ($G$1 * TAN(RADIANS($I$1)))</f>
        <v>12.5667092037199</v>
      </c>
      <c r="E37" s="5" t="n">
        <f aca="false">(( -A37 - (-0.25) ) * COS(RADIANS($F$1)) - (B37 - 0) * SIN(RADIANS($F$1)) + (-0.25)) * $E$1 - ($G$1 * TAN(RADIANS($H$1))) - $J$1</f>
        <v>-929.593335163275</v>
      </c>
    </row>
    <row r="38" customFormat="false" ht="15" hidden="false" customHeight="false" outlineLevel="0" collapsed="false">
      <c r="A38" s="5" t="n">
        <v>0.439732</v>
      </c>
      <c r="B38" s="5" t="n">
        <v>0.05632</v>
      </c>
      <c r="C38" s="5" t="n">
        <f aca="false">$G$1</f>
        <v>0</v>
      </c>
      <c r="D38" s="5" t="n">
        <f aca="false">(( -A38 - (-0.25) ) * SIN(RADIANS($F$1)) + (B38 - 0) * COS(RADIANS($F$1)) - 0.25 * SIN(RADIANS($F$1))) * $E$1 + ($G$1 * TAN(RADIANS($I$1)))</f>
        <v>12.6377869363114</v>
      </c>
      <c r="E38" s="5" t="n">
        <f aca="false">(( -A38 - (-0.25) ) * COS(RADIANS($F$1)) - (B38 - 0) * SIN(RADIANS($F$1)) + (-0.25)) * $E$1 - ($G$1 * TAN(RADIANS($H$1))) - $J$1</f>
        <v>-925.345038504087</v>
      </c>
    </row>
    <row r="39" customFormat="false" ht="15" hidden="false" customHeight="false" outlineLevel="0" collapsed="false">
      <c r="A39" s="5" t="n">
        <v>0.415822</v>
      </c>
      <c r="B39" s="5" t="n">
        <v>0.057403</v>
      </c>
      <c r="C39" s="5" t="n">
        <f aca="false">$G$1</f>
        <v>0</v>
      </c>
      <c r="D39" s="5" t="n">
        <f aca="false">(( -A39 - (-0.25) ) * SIN(RADIANS($F$1)) + (B39 - 0) * COS(RADIANS($F$1)) - 0.25 * SIN(RADIANS($F$1))) * $E$1 + ($G$1 * TAN(RADIANS($I$1)))</f>
        <v>12.6815218256228</v>
      </c>
      <c r="E39" s="5" t="n">
        <f aca="false">(( -A39 - (-0.25) ) * COS(RADIANS($F$1)) - (B39 - 0) * SIN(RADIANS($F$1)) + (-0.25)) * $E$1 - ($G$1 * TAN(RADIANS($H$1))) - $J$1</f>
        <v>-921.122587944684</v>
      </c>
    </row>
    <row r="40" customFormat="false" ht="15" hidden="false" customHeight="false" outlineLevel="0" collapsed="false">
      <c r="A40" s="5" t="n">
        <v>0.392108</v>
      </c>
      <c r="B40" s="5" t="n">
        <v>0.058314</v>
      </c>
      <c r="C40" s="5" t="n">
        <f aca="false">$G$1</f>
        <v>0</v>
      </c>
      <c r="D40" s="5" t="n">
        <f aca="false">(( -A40 - (-0.25) ) * SIN(RADIANS($F$1)) + (B40 - 0) * COS(RADIANS($F$1)) - 0.25 * SIN(RADIANS($F$1))) * $E$1 + ($G$1 * TAN(RADIANS($I$1)))</f>
        <v>12.6961366914805</v>
      </c>
      <c r="E40" s="5" t="n">
        <f aca="false">(( -A40 - (-0.25) ) * COS(RADIANS($F$1)) - (B40 - 0) * SIN(RADIANS($F$1)) + (-0.25)) * $E$1 - ($G$1 * TAN(RADIANS($H$1))) - $J$1</f>
        <v>-916.9357549049</v>
      </c>
    </row>
    <row r="41" customFormat="false" ht="15" hidden="false" customHeight="false" outlineLevel="0" collapsed="false">
      <c r="A41" s="5" t="n">
        <v>0.368646</v>
      </c>
      <c r="B41" s="5" t="n">
        <v>0.059042</v>
      </c>
      <c r="C41" s="5" t="n">
        <f aca="false">$G$1</f>
        <v>0</v>
      </c>
      <c r="D41" s="5" t="n">
        <f aca="false">(( -A41 - (-0.25) ) * SIN(RADIANS($F$1)) + (B41 - 0) * COS(RADIANS($F$1)) - 0.25 * SIN(RADIANS($F$1))) * $E$1 + ($G$1 * TAN(RADIANS($I$1)))</f>
        <v>12.6800368296915</v>
      </c>
      <c r="E41" s="5" t="n">
        <f aca="false">(( -A41 - (-0.25) ) * COS(RADIANS($F$1)) - (B41 - 0) * SIN(RADIANS($F$1)) + (-0.25)) * $E$1 - ($G$1 * TAN(RADIANS($H$1))) - $J$1</f>
        <v>-912.794480966173</v>
      </c>
    </row>
    <row r="42" customFormat="false" ht="15" hidden="false" customHeight="false" outlineLevel="0" collapsed="false">
      <c r="A42" s="5" t="n">
        <v>0.345492</v>
      </c>
      <c r="B42" s="5" t="n">
        <v>0.059575</v>
      </c>
      <c r="C42" s="5" t="n">
        <f aca="false">$G$1</f>
        <v>0</v>
      </c>
      <c r="D42" s="5" t="n">
        <f aca="false">(( -A42 - (-0.25) ) * SIN(RADIANS($F$1)) + (B42 - 0) * COS(RADIANS($F$1)) - 0.25 * SIN(RADIANS($F$1))) * $E$1 + ($G$1 * TAN(RADIANS($I$1)))</f>
        <v>12.6314512172704</v>
      </c>
      <c r="E42" s="5" t="n">
        <f aca="false">(( -A42 - (-0.25) ) * COS(RADIANS($F$1)) - (B42 - 0) * SIN(RADIANS($F$1)) + (-0.25)) * $E$1 - ($G$1 * TAN(RADIANS($H$1))) - $J$1</f>
        <v>-908.708713867128</v>
      </c>
    </row>
    <row r="43" customFormat="false" ht="15" hidden="false" customHeight="false" outlineLevel="0" collapsed="false">
      <c r="A43" s="5" t="n">
        <v>0.322698</v>
      </c>
      <c r="B43" s="5" t="n">
        <v>0.059903</v>
      </c>
      <c r="C43" s="5" t="n">
        <f aca="false">$G$1</f>
        <v>0</v>
      </c>
      <c r="D43" s="5" t="n">
        <f aca="false">(( -A43 - (-0.25) ) * SIN(RADIANS($F$1)) + (B43 - 0) * COS(RADIANS($F$1)) - 0.25 * SIN(RADIANS($F$1))) * $E$1 + ($G$1 * TAN(RADIANS($I$1)))</f>
        <v>12.5489368400647</v>
      </c>
      <c r="E43" s="5" t="n">
        <f aca="false">(( -A43 - (-0.25) ) * COS(RADIANS($F$1)) - (B43 - 0) * SIN(RADIANS($F$1)) + (-0.25)) * $E$1 - ($G$1 * TAN(RADIANS($H$1))) - $J$1</f>
        <v>-904.687683756847</v>
      </c>
    </row>
    <row r="44" customFormat="false" ht="15" hidden="false" customHeight="false" outlineLevel="0" collapsed="false">
      <c r="A44" s="5" t="n">
        <v>0.300318</v>
      </c>
      <c r="B44" s="5" t="n">
        <v>0.060017</v>
      </c>
      <c r="C44" s="5" t="n">
        <f aca="false">$G$1</f>
        <v>0</v>
      </c>
      <c r="D44" s="5" t="n">
        <f aca="false">(( -A44 - (-0.25) ) * SIN(RADIANS($F$1)) + (B44 - 0) * COS(RADIANS($F$1)) - 0.25 * SIN(RADIANS($F$1))) * $E$1 + ($G$1 * TAN(RADIANS($I$1)))</f>
        <v>12.4312393170902</v>
      </c>
      <c r="E44" s="5" t="n">
        <f aca="false">(( -A44 - (-0.25) ) * COS(RADIANS($F$1)) - (B44 - 0) * SIN(RADIANS($F$1)) + (-0.25)) * $E$1 - ($G$1 * TAN(RADIANS($H$1))) - $J$1</f>
        <v>-900.740967264807</v>
      </c>
    </row>
    <row r="45" customFormat="false" ht="15" hidden="false" customHeight="false" outlineLevel="0" collapsed="false">
      <c r="A45" s="5" t="n">
        <v>0.278404</v>
      </c>
      <c r="B45" s="5" t="n">
        <v>0.05991</v>
      </c>
      <c r="C45" s="5" t="n">
        <f aca="false">$G$1</f>
        <v>0</v>
      </c>
      <c r="D45" s="5" t="n">
        <f aca="false">(( -A45 - (-0.25) ) * SIN(RADIANS($F$1)) + (B45 - 0) * COS(RADIANS($F$1)) - 0.25 * SIN(RADIANS($F$1))) * $E$1 + ($G$1 * TAN(RADIANS($I$1)))</f>
        <v>12.2774445905715</v>
      </c>
      <c r="E45" s="5" t="n">
        <f aca="false">(( -A45 - (-0.25) ) * COS(RADIANS($F$1)) - (B45 - 0) * SIN(RADIANS($F$1)) + (-0.25)) * $E$1 - ($G$1 * TAN(RADIANS($H$1))) - $J$1</f>
        <v>-896.877776068525</v>
      </c>
    </row>
    <row r="46" customFormat="false" ht="15" hidden="false" customHeight="false" outlineLevel="0" collapsed="false">
      <c r="A46" s="5" t="n">
        <v>0.257008</v>
      </c>
      <c r="B46" s="5" t="n">
        <v>0.059576</v>
      </c>
      <c r="C46" s="5" t="n">
        <f aca="false">$G$1</f>
        <v>0</v>
      </c>
      <c r="D46" s="5" t="n">
        <f aca="false">(( -A46 - (-0.25) ) * SIN(RADIANS($F$1)) + (B46 - 0) * COS(RADIANS($F$1)) - 0.25 * SIN(RADIANS($F$1))) * $E$1 + ($G$1 * TAN(RADIANS($I$1)))</f>
        <v>12.0868149215257</v>
      </c>
      <c r="E46" s="5" t="n">
        <f aca="false">(( -A46 - (-0.25) ) * COS(RADIANS($F$1)) - (B46 - 0) * SIN(RADIANS($F$1)) + (-0.25)) * $E$1 - ($G$1 * TAN(RADIANS($H$1))) - $J$1</f>
        <v>-893.107315688331</v>
      </c>
    </row>
    <row r="47" customFormat="false" ht="15" hidden="false" customHeight="false" outlineLevel="0" collapsed="false">
      <c r="A47" s="5" t="n">
        <v>0.23618</v>
      </c>
      <c r="B47" s="5" t="n">
        <v>0.059008</v>
      </c>
      <c r="C47" s="5" t="n">
        <f aca="false">$G$1</f>
        <v>0</v>
      </c>
      <c r="D47" s="5" t="n">
        <f aca="false">(( -A47 - (-0.25) ) * SIN(RADIANS($F$1)) + (B47 - 0) * COS(RADIANS($F$1)) - 0.25 * SIN(RADIANS($F$1))) * $E$1 + ($G$1 * TAN(RADIANS($I$1)))</f>
        <v>11.8584239378015</v>
      </c>
      <c r="E47" s="5" t="n">
        <f aca="false">(( -A47 - (-0.25) ) * COS(RADIANS($F$1)) - (B47 - 0) * SIN(RADIANS($F$1)) + (-0.25)) * $E$1 - ($G$1 * TAN(RADIANS($H$1))) - $J$1</f>
        <v>-889.438445164157</v>
      </c>
    </row>
    <row r="48" customFormat="false" ht="15" hidden="false" customHeight="false" outlineLevel="0" collapsed="false">
      <c r="A48" s="5" t="n">
        <v>0.215968</v>
      </c>
      <c r="B48" s="5" t="n">
        <v>0.058205</v>
      </c>
      <c r="C48" s="5" t="n">
        <f aca="false">$G$1</f>
        <v>0</v>
      </c>
      <c r="D48" s="5" t="n">
        <f aca="false">(( -A48 - (-0.25) ) * SIN(RADIANS($F$1)) + (B48 - 0) * COS(RADIANS($F$1)) - 0.25 * SIN(RADIANS($F$1))) * $E$1 + ($G$1 * TAN(RADIANS($I$1)))</f>
        <v>11.5923908656261</v>
      </c>
      <c r="E48" s="5" t="n">
        <f aca="false">(( -A48 - (-0.25) ) * COS(RADIANS($F$1)) - (B48 - 0) * SIN(RADIANS($F$1)) + (-0.25)) * $E$1 - ($G$1 * TAN(RADIANS($H$1))) - $J$1</f>
        <v>-885.879633955224</v>
      </c>
    </row>
    <row r="49" customFormat="false" ht="15" hidden="false" customHeight="false" outlineLevel="0" collapsed="false">
      <c r="A49" s="5" t="n">
        <v>0.196419</v>
      </c>
      <c r="B49" s="5" t="n">
        <v>0.057164</v>
      </c>
      <c r="C49" s="5" t="n">
        <f aca="false">$G$1</f>
        <v>0</v>
      </c>
      <c r="D49" s="5" t="n">
        <f aca="false">(( -A49 - (-0.25) ) * SIN(RADIANS($F$1)) + (B49 - 0) * COS(RADIANS($F$1)) - 0.25 * SIN(RADIANS($F$1))) * $E$1 + ($G$1 * TAN(RADIANS($I$1)))</f>
        <v>11.2884761364538</v>
      </c>
      <c r="E49" s="5" t="n">
        <f aca="false">(( -A49 - (-0.25) ) * COS(RADIANS($F$1)) - (B49 - 0) * SIN(RADIANS($F$1)) + (-0.25)) * $E$1 - ($G$1 * TAN(RADIANS($H$1))) - $J$1</f>
        <v>-882.439187516334</v>
      </c>
    </row>
    <row r="50" customFormat="false" ht="15" hidden="false" customHeight="false" outlineLevel="0" collapsed="false">
      <c r="A50" s="5" t="n">
        <v>0.177579</v>
      </c>
      <c r="B50" s="5" t="n">
        <v>0.055886</v>
      </c>
      <c r="C50" s="5" t="n">
        <f aca="false">$G$1</f>
        <v>0</v>
      </c>
      <c r="D50" s="5" t="n">
        <f aca="false">(( -A50 - (-0.25) ) * SIN(RADIANS($F$1)) + (B50 - 0) * COS(RADIANS($F$1)) - 0.25 * SIN(RADIANS($F$1))) * $E$1 + ($G$1 * TAN(RADIANS($I$1)))</f>
        <v>10.9471392997207</v>
      </c>
      <c r="E50" s="5" t="n">
        <f aca="false">(( -A50 - (-0.25) ) * COS(RADIANS($F$1)) - (B50 - 0) * SIN(RADIANS($F$1)) + (-0.25)) * $E$1 - ($G$1 * TAN(RADIANS($H$1))) - $J$1</f>
        <v>-879.125210354749</v>
      </c>
    </row>
    <row r="51" customFormat="false" ht="15" hidden="false" customHeight="false" outlineLevel="0" collapsed="false">
      <c r="A51" s="5" t="n">
        <v>0.159492</v>
      </c>
      <c r="B51" s="5" t="n">
        <v>0.054372</v>
      </c>
      <c r="C51" s="5" t="n">
        <f aca="false">$G$1</f>
        <v>0</v>
      </c>
      <c r="D51" s="5" t="n">
        <f aca="false">(( -A51 - (-0.25) ) * SIN(RADIANS($F$1)) + (B51 - 0) * COS(RADIANS($F$1)) - 0.25 * SIN(RADIANS($F$1))) * $E$1 + ($G$1 * TAN(RADIANS($I$1)))</f>
        <v>10.5688275904869</v>
      </c>
      <c r="E51" s="5" t="n">
        <f aca="false">(( -A51 - (-0.25) ) * COS(RADIANS($F$1)) - (B51 - 0) * SIN(RADIANS($F$1)) + (-0.25)) * $E$1 - ($G$1 * TAN(RADIANS($H$1))) - $J$1</f>
        <v>-875.945454340142</v>
      </c>
    </row>
    <row r="52" customFormat="false" ht="15" hidden="false" customHeight="false" outlineLevel="0" collapsed="false">
      <c r="A52" s="5" t="n">
        <v>0.142201</v>
      </c>
      <c r="B52" s="5" t="n">
        <v>0.052625</v>
      </c>
      <c r="C52" s="5" t="n">
        <f aca="false">$G$1</f>
        <v>0</v>
      </c>
      <c r="D52" s="5" t="n">
        <f aca="false">(( -A52 - (-0.25) ) * SIN(RADIANS($F$1)) + (B52 - 0) * COS(RADIANS($F$1)) - 0.25 * SIN(RADIANS($F$1))) * $E$1 + ($G$1 * TAN(RADIANS($I$1)))</f>
        <v>10.1543347242093</v>
      </c>
      <c r="E52" s="5" t="n">
        <f aca="false">(( -A52 - (-0.25) ) * COS(RADIANS($F$1)) - (B52 - 0) * SIN(RADIANS($F$1)) + (-0.25)) * $E$1 - ($G$1 * TAN(RADIANS($H$1))) - $J$1</f>
        <v>-872.907482709022</v>
      </c>
    </row>
    <row r="53" customFormat="false" ht="15" hidden="false" customHeight="false" outlineLevel="0" collapsed="false">
      <c r="A53" s="5" t="n">
        <v>0.125745</v>
      </c>
      <c r="B53" s="5" t="n">
        <v>0.050651</v>
      </c>
      <c r="C53" s="5" t="n">
        <f aca="false">$G$1</f>
        <v>0</v>
      </c>
      <c r="D53" s="5" t="n">
        <f aca="false">(( -A53 - (-0.25) ) * SIN(RADIANS($F$1)) + (B53 - 0) * COS(RADIANS($F$1)) - 0.25 * SIN(RADIANS($F$1))) * $E$1 + ($G$1 * TAN(RADIANS($I$1)))</f>
        <v>9.70495874397016</v>
      </c>
      <c r="E53" s="5" t="n">
        <f aca="false">(( -A53 - (-0.25) ) * COS(RADIANS($F$1)) - (B53 - 0) * SIN(RADIANS($F$1)) + (-0.25)) * $E$1 - ($G$1 * TAN(RADIANS($H$1))) - $J$1</f>
        <v>-870.018134951162</v>
      </c>
    </row>
    <row r="54" customFormat="false" ht="15" hidden="false" customHeight="false" outlineLevel="0" collapsed="false">
      <c r="A54" s="5" t="n">
        <v>0.110163</v>
      </c>
      <c r="B54" s="5" t="n">
        <v>0.048457</v>
      </c>
      <c r="C54" s="5" t="n">
        <f aca="false">$G$1</f>
        <v>0</v>
      </c>
      <c r="D54" s="5" t="n">
        <f aca="false">(( -A54 - (-0.25) ) * SIN(RADIANS($F$1)) + (B54 - 0) * COS(RADIANS($F$1)) - 0.25 * SIN(RADIANS($F$1))) * $E$1 + ($G$1 * TAN(RADIANS($I$1)))</f>
        <v>9.22217401164426</v>
      </c>
      <c r="E54" s="5" t="n">
        <f aca="false">(( -A54 - (-0.25) ) * COS(RADIANS($F$1)) - (B54 - 0) * SIN(RADIANS($F$1)) + (-0.25)) * $E$1 - ($G$1 * TAN(RADIANS($H$1))) - $J$1</f>
        <v>-867.284244399148</v>
      </c>
    </row>
    <row r="55" customFormat="false" ht="15" hidden="false" customHeight="false" outlineLevel="0" collapsed="false">
      <c r="A55" s="5" t="n">
        <v>0.095492</v>
      </c>
      <c r="B55" s="5" t="n">
        <v>0.046049</v>
      </c>
      <c r="C55" s="5" t="n">
        <f aca="false">$G$1</f>
        <v>0</v>
      </c>
      <c r="D55" s="5" t="n">
        <f aca="false">(( -A55 - (-0.25) ) * SIN(RADIANS($F$1)) + (B55 - 0) * COS(RADIANS($F$1)) - 0.25 * SIN(RADIANS($F$1))) * $E$1 + ($G$1 * TAN(RADIANS($I$1)))</f>
        <v>8.70726625593808</v>
      </c>
      <c r="E55" s="5" t="n">
        <f aca="false">(( -A55 - (-0.25) ) * COS(RADIANS($F$1)) - (B55 - 0) * SIN(RADIANS($F$1)) + (-0.25)) * $E$1 - ($G$1 * TAN(RADIANS($H$1))) - $J$1</f>
        <v>-864.712297905169</v>
      </c>
    </row>
    <row r="56" customFormat="false" ht="15" hidden="false" customHeight="false" outlineLevel="0" collapsed="false">
      <c r="A56" s="5" t="n">
        <v>0.081765</v>
      </c>
      <c r="B56" s="5" t="n">
        <v>0.043437</v>
      </c>
      <c r="C56" s="5" t="n">
        <f aca="false">$G$1</f>
        <v>0</v>
      </c>
      <c r="D56" s="5" t="n">
        <f aca="false">(( -A56 - (-0.25) ) * SIN(RADIANS($F$1)) + (B56 - 0) * COS(RADIANS($F$1)) - 0.25 * SIN(RADIANS($F$1))) * $E$1 + ($G$1 * TAN(RADIANS($I$1)))</f>
        <v>8.16220185197588</v>
      </c>
      <c r="E56" s="5" t="n">
        <f aca="false">(( -A56 - (-0.25) ) * COS(RADIANS($F$1)) - (B56 - 0) * SIN(RADIANS($F$1)) + (-0.25)) * $E$1 - ($G$1 * TAN(RADIANS($H$1))) - $J$1</f>
        <v>-862.308052417494</v>
      </c>
    </row>
    <row r="57" customFormat="false" ht="15" hidden="false" customHeight="false" outlineLevel="0" collapsed="false">
      <c r="A57" s="5" t="n">
        <v>0.069015</v>
      </c>
      <c r="B57" s="5" t="n">
        <v>0.040631</v>
      </c>
      <c r="C57" s="5" t="n">
        <f aca="false">$G$1</f>
        <v>0</v>
      </c>
      <c r="D57" s="5" t="n">
        <f aca="false">(( -A57 - (-0.25) ) * SIN(RADIANS($F$1)) + (B57 - 0) * COS(RADIANS($F$1)) - 0.25 * SIN(RADIANS($F$1))) * $E$1 + ($G$1 * TAN(RADIANS($I$1)))</f>
        <v>7.58894717488194</v>
      </c>
      <c r="E57" s="5" t="n">
        <f aca="false">(( -A57 - (-0.25) ) * COS(RADIANS($F$1)) - (B57 - 0) * SIN(RADIANS($F$1)) + (-0.25)) * $E$1 - ($G$1 * TAN(RADIANS($H$1))) - $J$1</f>
        <v>-860.077264884391</v>
      </c>
    </row>
    <row r="58" customFormat="false" ht="15" hidden="false" customHeight="false" outlineLevel="0" collapsed="false">
      <c r="A58" s="5" t="n">
        <v>0.057272</v>
      </c>
      <c r="B58" s="5" t="n">
        <v>0.037641</v>
      </c>
      <c r="C58" s="5" t="n">
        <f aca="false">$G$1</f>
        <v>0</v>
      </c>
      <c r="D58" s="5" t="n">
        <f aca="false">(( -A58 - (-0.25) ) * SIN(RADIANS($F$1)) + (B58 - 0) * COS(RADIANS($F$1)) - 0.25 * SIN(RADIANS($F$1))) * $E$1 + ($G$1 * TAN(RADIANS($I$1)))</f>
        <v>6.9894501282168</v>
      </c>
      <c r="E58" s="5" t="n">
        <f aca="false">(( -A58 - (-0.25) ) * COS(RADIANS($F$1)) - (B58 - 0) * SIN(RADIANS($F$1)) + (-0.25)) * $E$1 - ($G$1 * TAN(RADIANS($H$1))) - $J$1</f>
        <v>-858.02516329775</v>
      </c>
    </row>
    <row r="59" customFormat="false" ht="15" hidden="false" customHeight="false" outlineLevel="0" collapsed="false">
      <c r="A59" s="5" t="n">
        <v>0.046563</v>
      </c>
      <c r="B59" s="5" t="n">
        <v>0.034479</v>
      </c>
      <c r="C59" s="5" t="n">
        <f aca="false">$G$1</f>
        <v>0</v>
      </c>
      <c r="D59" s="5" t="n">
        <f aca="false">(( -A59 - (-0.25) ) * SIN(RADIANS($F$1)) + (B59 - 0) * COS(RADIANS($F$1)) - 0.25 * SIN(RADIANS($F$1))) * $E$1 + ($G$1 * TAN(RADIANS($I$1)))</f>
        <v>6.365992781562</v>
      </c>
      <c r="E59" s="5" t="n">
        <f aca="false">(( -A59 - (-0.25) ) * COS(RADIANS($F$1)) - (B59 - 0) * SIN(RADIANS($F$1)) + (-0.25)) * $E$1 - ($G$1 * TAN(RADIANS($H$1))) - $J$1</f>
        <v>-856.156434378711</v>
      </c>
    </row>
    <row r="60" customFormat="false" ht="15" hidden="false" customHeight="false" outlineLevel="0" collapsed="false">
      <c r="A60" s="5" t="n">
        <v>0.036913</v>
      </c>
      <c r="B60" s="5" t="n">
        <v>0.031156</v>
      </c>
      <c r="C60" s="5" t="n">
        <f aca="false">$G$1</f>
        <v>0</v>
      </c>
      <c r="D60" s="5" t="n">
        <f aca="false">(( -A60 - (-0.25) ) * SIN(RADIANS($F$1)) + (B60 - 0) * COS(RADIANS($F$1)) - 0.25 * SIN(RADIANS($F$1))) * $E$1 + ($G$1 * TAN(RADIANS($I$1)))</f>
        <v>5.72066857133091</v>
      </c>
      <c r="E60" s="5" t="n">
        <f aca="false">(( -A60 - (-0.25) ) * COS(RADIANS($F$1)) - (B60 - 0) * SIN(RADIANS($F$1)) + (-0.25)) * $E$1 - ($G$1 * TAN(RADIANS($H$1))) - $J$1</f>
        <v>-854.475418368015</v>
      </c>
    </row>
    <row r="61" customFormat="false" ht="15" hidden="false" customHeight="false" outlineLevel="0" collapsed="false">
      <c r="A61" s="5" t="n">
        <v>0.028344</v>
      </c>
      <c r="B61" s="5" t="n">
        <v>0.027683</v>
      </c>
      <c r="C61" s="5" t="n">
        <f aca="false">$G$1</f>
        <v>0</v>
      </c>
      <c r="D61" s="5" t="n">
        <f aca="false">(( -A61 - (-0.25) ) * SIN(RADIANS($F$1)) + (B61 - 0) * COS(RADIANS($F$1)) - 0.25 * SIN(RADIANS($F$1))) * $E$1 + ($G$1 * TAN(RADIANS($I$1)))</f>
        <v>5.0555524623732</v>
      </c>
      <c r="E61" s="5" t="n">
        <f aca="false">(( -A61 - (-0.25) ) * COS(RADIANS($F$1)) - (B61 - 0) * SIN(RADIANS($F$1)) + (-0.25)) * $E$1 - ($G$1 * TAN(RADIANS($H$1))) - $J$1</f>
        <v>-852.985926550027</v>
      </c>
    </row>
    <row r="62" customFormat="false" ht="15" hidden="false" customHeight="false" outlineLevel="0" collapsed="false">
      <c r="A62" s="5" t="n">
        <v>0.020877</v>
      </c>
      <c r="B62" s="5" t="n">
        <v>0.024071</v>
      </c>
      <c r="C62" s="5" t="n">
        <f aca="false">$G$1</f>
        <v>0</v>
      </c>
      <c r="D62" s="5" t="n">
        <f aca="false">(( -A62 - (-0.25) ) * SIN(RADIANS($F$1)) + (B62 - 0) * COS(RADIANS($F$1)) - 0.25 * SIN(RADIANS($F$1))) * $E$1 + ($G$1 * TAN(RADIANS($I$1)))</f>
        <v>4.37271326235061</v>
      </c>
      <c r="E62" s="5" t="n">
        <f aca="false">(( -A62 - (-0.25) ) * COS(RADIANS($F$1)) - (B62 - 0) * SIN(RADIANS($F$1)) + (-0.25)) * $E$1 - ($G$1 * TAN(RADIANS($H$1))) - $J$1</f>
        <v>-851.691593890319</v>
      </c>
    </row>
    <row r="63" customFormat="false" ht="15" hidden="false" customHeight="false" outlineLevel="0" collapsed="false">
      <c r="A63" s="5" t="n">
        <v>0.014529</v>
      </c>
      <c r="B63" s="5" t="n">
        <v>0.02033</v>
      </c>
      <c r="C63" s="5" t="n">
        <f aca="false">$G$1</f>
        <v>0</v>
      </c>
      <c r="D63" s="5" t="n">
        <f aca="false">(( -A63 - (-0.25) ) * SIN(RADIANS($F$1)) + (B63 - 0) * COS(RADIANS($F$1)) - 0.25 * SIN(RADIANS($F$1))) * $E$1 + ($G$1 * TAN(RADIANS($I$1)))</f>
        <v>3.67401883138096</v>
      </c>
      <c r="E63" s="5" t="n">
        <f aca="false">(( -A63 - (-0.25) ) * COS(RADIANS($F$1)) - (B63 - 0) * SIN(RADIANS($F$1)) + (-0.25)) * $E$1 - ($G$1 * TAN(RADIANS($H$1))) - $J$1</f>
        <v>-850.595356236481</v>
      </c>
    </row>
    <row r="64" customFormat="false" ht="15" hidden="false" customHeight="false" outlineLevel="0" collapsed="false">
      <c r="A64" s="5" t="n">
        <v>0.009315</v>
      </c>
      <c r="B64" s="5" t="n">
        <v>0.016471</v>
      </c>
      <c r="C64" s="5" t="n">
        <f aca="false">$G$1</f>
        <v>0</v>
      </c>
      <c r="D64" s="5" t="n">
        <f aca="false">(( -A64 - (-0.25) ) * SIN(RADIANS($F$1)) + (B64 - 0) * COS(RADIANS($F$1)) - 0.25 * SIN(RADIANS($F$1))) * $E$1 + ($G$1 * TAN(RADIANS($I$1)))</f>
        <v>2.96150103399856</v>
      </c>
      <c r="E64" s="5" t="n">
        <f aca="false">(( -A64 - (-0.25) ) * COS(RADIANS($F$1)) - (B64 - 0) * SIN(RADIANS($F$1)) + (-0.25)) * $E$1 - ($G$1 * TAN(RADIANS($H$1))) - $J$1</f>
        <v>-849.699790641332</v>
      </c>
    </row>
    <row r="65" customFormat="false" ht="15" hidden="false" customHeight="false" outlineLevel="0" collapsed="false">
      <c r="A65" s="5" t="n">
        <v>0.005247</v>
      </c>
      <c r="B65" s="5" t="n">
        <v>0.012501</v>
      </c>
      <c r="C65" s="5" t="n">
        <f aca="false">$G$1</f>
        <v>0</v>
      </c>
      <c r="D65" s="5" t="n">
        <f aca="false">(( -A65 - (-0.25) ) * SIN(RADIANS($F$1)) + (B65 - 0) * COS(RADIANS($F$1)) - 0.25 * SIN(RADIANS($F$1))) * $E$1 + ($G$1 * TAN(RADIANS($I$1)))</f>
        <v>2.23646798800468</v>
      </c>
      <c r="E65" s="5" t="n">
        <f aca="false">(( -A65 - (-0.25) ) * COS(RADIANS($F$1)) - (B65 - 0) * SIN(RADIANS($F$1)) + (-0.25)) * $E$1 - ($G$1 * TAN(RADIANS($H$1))) - $J$1</f>
        <v>-849.006969830064</v>
      </c>
    </row>
    <row r="66" customFormat="false" ht="15" hidden="false" customHeight="false" outlineLevel="0" collapsed="false">
      <c r="A66" s="5" t="n">
        <v>0.002334</v>
      </c>
      <c r="B66" s="5" t="n">
        <v>0.008429</v>
      </c>
      <c r="C66" s="5" t="n">
        <f aca="false">$G$1</f>
        <v>0</v>
      </c>
      <c r="D66" s="5" t="n">
        <f aca="false">(( -A66 - (-0.25) ) * SIN(RADIANS($F$1)) + (B66 - 0) * COS(RADIANS($F$1)) - 0.25 * SIN(RADIANS($F$1))) * $E$1 + ($G$1 * TAN(RADIANS($I$1)))</f>
        <v>1.50056197722152</v>
      </c>
      <c r="E66" s="5" t="n">
        <f aca="false">(( -A66 - (-0.25) ) * COS(RADIANS($F$1)) - (B66 - 0) * SIN(RADIANS($F$1)) + (-0.25)) * $E$1 - ($G$1 * TAN(RADIANS($H$1))) - $J$1</f>
        <v>-848.518425257118</v>
      </c>
    </row>
    <row r="67" customFormat="false" ht="15" hidden="false" customHeight="false" outlineLevel="0" collapsed="false">
      <c r="A67" s="5" t="n">
        <v>0.000584</v>
      </c>
      <c r="B67" s="5" t="n">
        <v>0.00426</v>
      </c>
      <c r="C67" s="5" t="n">
        <f aca="false">$G$1</f>
        <v>0</v>
      </c>
      <c r="D67" s="5" t="n">
        <f aca="false">(( -A67 - (-0.25) ) * SIN(RADIANS($F$1)) + (B67 - 0) * COS(RADIANS($F$1)) - 0.25 * SIN(RADIANS($F$1))) * $E$1 + ($G$1 * TAN(RADIANS($I$1)))</f>
        <v>0.754713853114039</v>
      </c>
      <c r="E67" s="5" t="n">
        <f aca="false">(( -A67 - (-0.25) ) * COS(RADIANS($F$1)) - (B67 - 0) * SIN(RADIANS($F$1)) + (-0.25)) * $E$1 - ($G$1 * TAN(RADIANS($H$1))) - $J$1</f>
        <v>-848.235536686893</v>
      </c>
    </row>
    <row r="68" customFormat="false" ht="15" hidden="false" customHeight="false" outlineLevel="0" collapsed="false">
      <c r="A68" s="5" t="n">
        <v>0</v>
      </c>
      <c r="B68" s="5" t="n">
        <v>0</v>
      </c>
      <c r="C68" s="5" t="n">
        <f aca="false">$G$1</f>
        <v>0</v>
      </c>
      <c r="D68" s="5" t="n">
        <f aca="false">(( -A68 - (-0.25) ) * SIN(RADIANS($F$1)) + (B68 - 0) * COS(RADIANS($F$1)) - 0.25 * SIN(RADIANS($F$1))) * $E$1 + ($G$1 * TAN(RADIANS($I$1)))</f>
        <v>0</v>
      </c>
      <c r="E68" s="5" t="n">
        <f aca="false">(( -A68 - (-0.25) ) * COS(RADIANS($F$1)) - (B68 - 0) * SIN(RADIANS($F$1)) + (-0.25)) * $E$1 - ($G$1 * TAN(RADIANS($H$1))) - $J$1</f>
        <v>-848.158796132638</v>
      </c>
    </row>
    <row r="69" customFormat="false" ht="15" hidden="false" customHeight="false" outlineLevel="0" collapsed="false">
      <c r="A69" s="5" t="n">
        <v>0.000584</v>
      </c>
      <c r="B69" s="5" t="n">
        <v>-0.00426</v>
      </c>
      <c r="C69" s="5" t="n">
        <f aca="false">$G$1</f>
        <v>0</v>
      </c>
      <c r="D69" s="5" t="n">
        <f aca="false">(( -A69 - (-0.25) ) * SIN(RADIANS($F$1)) + (B69 - 0) * COS(RADIANS($F$1)) - 0.25 * SIN(RADIANS($F$1))) * $E$1 + ($G$1 * TAN(RADIANS($I$1)))</f>
        <v>-0.747522257641646</v>
      </c>
      <c r="E69" s="5" t="n">
        <f aca="false">(( -A69 - (-0.25) ) * COS(RADIANS($F$1)) - (B69 - 0) * SIN(RADIANS($F$1)) + (-0.25)) * $E$1 - ($G$1 * TAN(RADIANS($H$1))) - $J$1</f>
        <v>-848.287995927839</v>
      </c>
    </row>
    <row r="70" customFormat="false" ht="15" hidden="false" customHeight="false" outlineLevel="0" collapsed="false">
      <c r="A70" s="5" t="n">
        <v>0.002334</v>
      </c>
      <c r="B70" s="5" t="n">
        <v>-0.008429</v>
      </c>
      <c r="C70" s="5" t="n">
        <f aca="false">$G$1</f>
        <v>0</v>
      </c>
      <c r="D70" s="5" t="n">
        <f aca="false">(( -A70 - (-0.25) ) * SIN(RADIANS($F$1)) + (B70 - 0) * COS(RADIANS($F$1)) - 0.25 * SIN(RADIANS($F$1))) * $E$1 + ($G$1 * TAN(RADIANS($I$1)))</f>
        <v>-1.47182022408357</v>
      </c>
      <c r="E70" s="5" t="n">
        <f aca="false">(( -A70 - (-0.25) ) * COS(RADIANS($F$1)) - (B70 - 0) * SIN(RADIANS($F$1)) + (-0.25)) * $E$1 - ($G$1 * TAN(RADIANS($H$1))) - $J$1</f>
        <v>-848.622223130811</v>
      </c>
    </row>
    <row r="71" customFormat="false" ht="15" hidden="false" customHeight="false" outlineLevel="0" collapsed="false">
      <c r="A71" s="5" t="n">
        <v>0.005247</v>
      </c>
      <c r="B71" s="5" t="n">
        <v>-0.012501</v>
      </c>
      <c r="C71" s="5" t="n">
        <f aca="false">$G$1</f>
        <v>0</v>
      </c>
      <c r="D71" s="5" t="n">
        <f aca="false">(( -A71 - (-0.25) ) * SIN(RADIANS($F$1)) + (B71 - 0) * COS(RADIANS($F$1)) - 0.25 * SIN(RADIANS($F$1))) * $E$1 + ($G$1 * TAN(RADIANS($I$1)))</f>
        <v>-2.17185445813542</v>
      </c>
      <c r="E71" s="5" t="n">
        <f aca="false">(( -A71 - (-0.25) ) * COS(RADIANS($F$1)) - (B71 - 0) * SIN(RADIANS($F$1)) + (-0.25)) * $E$1 - ($G$1 * TAN(RADIANS($H$1))) - $J$1</f>
        <v>-849.160911842051</v>
      </c>
    </row>
    <row r="72" customFormat="false" ht="15" hidden="false" customHeight="false" outlineLevel="0" collapsed="false">
      <c r="A72" s="5" t="n">
        <v>0.009315</v>
      </c>
      <c r="B72" s="5" t="n">
        <v>-0.016471</v>
      </c>
      <c r="C72" s="5" t="n">
        <f aca="false">$G$1</f>
        <v>0</v>
      </c>
      <c r="D72" s="5" t="n">
        <f aca="false">(( -A72 - (-0.25) ) * SIN(RADIANS($F$1)) + (B72 - 0) * COS(RADIANS($F$1)) - 0.25 * SIN(RADIANS($F$1))) * $E$1 + ($G$1 * TAN(RADIANS($I$1)))</f>
        <v>-2.84679262333874</v>
      </c>
      <c r="E72" s="5" t="n">
        <f aca="false">(( -A72 - (-0.25) ) * COS(RADIANS($F$1)) - (B72 - 0) * SIN(RADIANS($F$1)) + (-0.25)) * $E$1 - ($G$1 * TAN(RADIANS($H$1))) - $J$1</f>
        <v>-849.90262072528</v>
      </c>
    </row>
    <row r="73" customFormat="false" ht="15" hidden="false" customHeight="false" outlineLevel="0" collapsed="false">
      <c r="A73" s="5" t="n">
        <v>0.014529</v>
      </c>
      <c r="B73" s="5" t="n">
        <v>-0.02033</v>
      </c>
      <c r="C73" s="5" t="n">
        <f aca="false">$G$1</f>
        <v>0</v>
      </c>
      <c r="D73" s="5" t="n">
        <f aca="false">(( -A73 - (-0.25) ) * SIN(RADIANS($F$1)) + (B73 - 0) * COS(RADIANS($F$1)) - 0.25 * SIN(RADIANS($F$1))) * $E$1 + ($G$1 * TAN(RADIANS($I$1)))</f>
        <v>-3.49510326525357</v>
      </c>
      <c r="E73" s="5" t="n">
        <f aca="false">(( -A73 - (-0.25) ) * COS(RADIANS($F$1)) - (B73 - 0) * SIN(RADIANS($F$1)) + (-0.25)) * $E$1 - ($G$1 * TAN(RADIANS($H$1))) - $J$1</f>
        <v>-850.845707496676</v>
      </c>
    </row>
    <row r="74" customFormat="false" ht="15" hidden="false" customHeight="false" outlineLevel="0" collapsed="false">
      <c r="A74" s="5" t="n">
        <v>0.020877</v>
      </c>
      <c r="B74" s="5" t="n">
        <v>-0.024071</v>
      </c>
      <c r="C74" s="5" t="n">
        <f aca="false">$G$1</f>
        <v>0</v>
      </c>
      <c r="D74" s="5" t="n">
        <f aca="false">(( -A74 - (-0.25) ) * SIN(RADIANS($F$1)) + (B74 - 0) * COS(RADIANS($F$1)) - 0.25 * SIN(RADIANS($F$1))) * $E$1 + ($G$1 * TAN(RADIANS($I$1)))</f>
        <v>-4.11562603858838</v>
      </c>
      <c r="E74" s="5" t="n">
        <f aca="false">(( -A74 - (-0.25) ) * COS(RADIANS($F$1)) - (B74 - 0) * SIN(RADIANS($F$1)) + (-0.25)) * $E$1 - ($G$1 * TAN(RADIANS($H$1))) - $J$1</f>
        <v>-851.988013230415</v>
      </c>
    </row>
    <row r="75" customFormat="false" ht="15" hidden="false" customHeight="false" outlineLevel="0" collapsed="false">
      <c r="A75" s="5" t="n">
        <v>0.028344</v>
      </c>
      <c r="B75" s="5" t="n">
        <v>-0.027683</v>
      </c>
      <c r="C75" s="5" t="n">
        <f aca="false">$G$1</f>
        <v>0</v>
      </c>
      <c r="D75" s="5" t="n">
        <f aca="false">(( -A75 - (-0.25) ) * SIN(RADIANS($F$1)) + (B75 - 0) * COS(RADIANS($F$1)) - 0.25 * SIN(RADIANS($F$1))) * $E$1 + ($G$1 * TAN(RADIANS($I$1)))</f>
        <v>-4.70651379444597</v>
      </c>
      <c r="E75" s="5" t="n">
        <f aca="false">(( -A75 - (-0.25) ) * COS(RADIANS($F$1)) - (B75 - 0) * SIN(RADIANS($F$1)) + (-0.25)) * $E$1 - ($G$1 * TAN(RADIANS($H$1))) - $J$1</f>
        <v>-853.326825415545</v>
      </c>
    </row>
    <row r="76" customFormat="false" ht="15" hidden="false" customHeight="false" outlineLevel="0" collapsed="false">
      <c r="A76" s="5" t="n">
        <v>0.036913</v>
      </c>
      <c r="B76" s="5" t="n">
        <v>-0.031156</v>
      </c>
      <c r="C76" s="5" t="n">
        <f aca="false">$G$1</f>
        <v>0</v>
      </c>
      <c r="D76" s="5" t="n">
        <f aca="false">(( -A76 - (-0.25) ) * SIN(RADIANS($F$1)) + (B76 - 0) * COS(RADIANS($F$1)) - 0.25 * SIN(RADIANS($F$1))) * $E$1 + ($G$1 * TAN(RADIANS($I$1)))</f>
        <v>-5.26610801709729</v>
      </c>
      <c r="E76" s="5" t="n">
        <f aca="false">(( -A76 - (-0.25) ) * COS(RADIANS($F$1)) - (B76 - 0) * SIN(RADIANS($F$1)) + (-0.25)) * $E$1 - ($G$1 * TAN(RADIANS($H$1))) - $J$1</f>
        <v>-854.859085060717</v>
      </c>
    </row>
    <row r="77" customFormat="false" ht="15" hidden="false" customHeight="false" outlineLevel="0" collapsed="false">
      <c r="A77" s="5" t="n">
        <v>0.046563</v>
      </c>
      <c r="B77" s="5" t="n">
        <v>-0.034479</v>
      </c>
      <c r="C77" s="5" t="n">
        <f aca="false">$G$1</f>
        <v>0</v>
      </c>
      <c r="D77" s="5" t="n">
        <f aca="false">(( -A77 - (-0.25) ) * SIN(RADIANS($F$1)) + (B77 - 0) * COS(RADIANS($F$1)) - 0.25 * SIN(RADIANS($F$1))) * $E$1 + ($G$1 * TAN(RADIANS($I$1)))</f>
        <v>-5.79259850077257</v>
      </c>
      <c r="E77" s="5" t="n">
        <f aca="false">(( -A77 - (-0.25) ) * COS(RADIANS($F$1)) - (B77 - 0) * SIN(RADIANS($F$1)) + (-0.25)) * $E$1 - ($G$1 * TAN(RADIANS($H$1))) - $J$1</f>
        <v>-856.581021742226</v>
      </c>
    </row>
    <row r="78" customFormat="false" ht="15" hidden="false" customHeight="false" outlineLevel="0" collapsed="false">
      <c r="A78" s="5" t="n">
        <v>0.057272</v>
      </c>
      <c r="B78" s="5" t="n">
        <v>-0.037641</v>
      </c>
      <c r="C78" s="5" t="n">
        <f aca="false">$G$1</f>
        <v>0</v>
      </c>
      <c r="D78" s="5" t="n">
        <f aca="false">(( -A78 - (-0.25) ) * SIN(RADIANS($F$1)) + (B78 - 0) * COS(RADIANS($F$1)) - 0.25 * SIN(RADIANS($F$1))) * $E$1 + ($G$1 * TAN(RADIANS($I$1)))</f>
        <v>-6.28418119688995</v>
      </c>
      <c r="E78" s="5" t="n">
        <f aca="false">(( -A78 - (-0.25) ) * COS(RADIANS($F$1)) - (B78 - 0) * SIN(RADIANS($F$1)) + (-0.25)) * $E$1 - ($G$1 * TAN(RADIANS($H$1))) - $J$1</f>
        <v>-858.488688717573</v>
      </c>
    </row>
    <row r="79" customFormat="false" ht="15" hidden="false" customHeight="false" outlineLevel="0" collapsed="false">
      <c r="A79" s="5" t="n">
        <v>0.069015</v>
      </c>
      <c r="B79" s="5" t="n">
        <v>-0.040631</v>
      </c>
      <c r="C79" s="5" t="n">
        <f aca="false">$G$1</f>
        <v>0</v>
      </c>
      <c r="D79" s="5" t="n">
        <f aca="false">(( -A79 - (-0.25) ) * SIN(RADIANS($F$1)) + (B79 - 0) * COS(RADIANS($F$1)) - 0.25 * SIN(RADIANS($F$1))) * $E$1 + ($G$1 * TAN(RADIANS($I$1)))</f>
        <v>-6.73907052843127</v>
      </c>
      <c r="E79" s="5" t="n">
        <f aca="false">(( -A79 - (-0.25) ) * COS(RADIANS($F$1)) - (B79 - 0) * SIN(RADIANS($F$1)) + (-0.25)) * $E$1 - ($G$1 * TAN(RADIANS($H$1))) - $J$1</f>
        <v>-860.577610287882</v>
      </c>
    </row>
    <row r="80" customFormat="false" ht="15" hidden="false" customHeight="false" outlineLevel="0" collapsed="false">
      <c r="A80" s="5" t="n">
        <v>0.081765</v>
      </c>
      <c r="B80" s="5" t="n">
        <v>-0.043437</v>
      </c>
      <c r="C80" s="5" t="n">
        <f aca="false">$G$1</f>
        <v>0</v>
      </c>
      <c r="D80" s="5" t="n">
        <f aca="false">(( -A80 - (-0.25) ) * SIN(RADIANS($F$1)) + (B80 - 0) * COS(RADIANS($F$1)) - 0.25 * SIN(RADIANS($F$1))) * $E$1 + ($G$1 * TAN(RADIANS($I$1)))</f>
        <v>-7.15531691396184</v>
      </c>
      <c r="E80" s="5" t="n">
        <f aca="false">(( -A80 - (-0.25) ) * COS(RADIANS($F$1)) - (B80 - 0) * SIN(RADIANS($F$1)) + (-0.25)) * $E$1 - ($G$1 * TAN(RADIANS($H$1))) - $J$1</f>
        <v>-862.842951959505</v>
      </c>
    </row>
    <row r="81" customFormat="false" ht="15" hidden="false" customHeight="false" outlineLevel="0" collapsed="false">
      <c r="A81" s="5" t="n">
        <v>0.095492</v>
      </c>
      <c r="B81" s="5" t="n">
        <v>-0.046049</v>
      </c>
      <c r="C81" s="5" t="n">
        <f aca="false">$G$1</f>
        <v>0</v>
      </c>
      <c r="D81" s="5" t="n">
        <f aca="false">(( -A81 - (-0.25) ) * SIN(RADIANS($F$1)) + (B81 - 0) * COS(RADIANS($F$1)) - 0.25 * SIN(RADIANS($F$1))) * $E$1 + ($G$1 * TAN(RADIANS($I$1)))</f>
        <v>-7.53134188119539</v>
      </c>
      <c r="E81" s="5" t="n">
        <f aca="false">(( -A81 - (-0.25) ) * COS(RADIANS($F$1)) - (B81 - 0) * SIN(RADIANS($F$1)) + (-0.25)) * $E$1 - ($G$1 * TAN(RADIANS($H$1))) - $J$1</f>
        <v>-865.279362596793</v>
      </c>
    </row>
    <row r="82" customFormat="false" ht="15" hidden="false" customHeight="false" outlineLevel="0" collapsed="false">
      <c r="A82" s="5" t="n">
        <v>0.110163</v>
      </c>
      <c r="B82" s="5" t="n">
        <v>-0.048457</v>
      </c>
      <c r="C82" s="5" t="n">
        <f aca="false">$G$1</f>
        <v>0</v>
      </c>
      <c r="D82" s="5" t="n">
        <f aca="false">(( -A82 - (-0.25) ) * SIN(RADIANS($F$1)) + (B82 - 0) * COS(RADIANS($F$1)) - 0.25 * SIN(RADIANS($F$1))) * $E$1 + ($G$1 * TAN(RADIANS($I$1)))</f>
        <v>-7.86558542940932</v>
      </c>
      <c r="E82" s="5" t="n">
        <f aca="false">(( -A82 - (-0.25) ) * COS(RADIANS($F$1)) - (B82 - 0) * SIN(RADIANS($F$1)) + (-0.25)) * $E$1 - ($G$1 * TAN(RADIANS($H$1))) - $J$1</f>
        <v>-867.880962107719</v>
      </c>
    </row>
    <row r="83" customFormat="false" ht="15" hidden="false" customHeight="false" outlineLevel="0" collapsed="false">
      <c r="A83" s="5" t="n">
        <v>0.125745</v>
      </c>
      <c r="B83" s="5" t="n">
        <v>-0.050651</v>
      </c>
      <c r="C83" s="5" t="n">
        <f aca="false">$G$1</f>
        <v>0</v>
      </c>
      <c r="D83" s="5" t="n">
        <f aca="false">(( -A83 - (-0.25) ) * SIN(RADIANS($F$1)) + (B83 - 0) * COS(RADIANS($F$1)) - 0.25 * SIN(RADIANS($F$1))) * $E$1 + ($G$1 * TAN(RADIANS($I$1)))</f>
        <v>-8.15648755788106</v>
      </c>
      <c r="E83" s="5" t="n">
        <f aca="false">(( -A83 - (-0.25) ) * COS(RADIANS($F$1)) - (B83 - 0) * SIN(RADIANS($F$1)) + (-0.25)) * $E$1 - ($G$1 * TAN(RADIANS($H$1))) - $J$1</f>
        <v>-870.641870400258</v>
      </c>
    </row>
    <row r="84" customFormat="false" ht="15" hidden="false" customHeight="false" outlineLevel="0" collapsed="false">
      <c r="A84" s="5" t="n">
        <v>0.142201</v>
      </c>
      <c r="B84" s="5" t="n">
        <v>-0.052625</v>
      </c>
      <c r="C84" s="5" t="n">
        <f aca="false">$G$1</f>
        <v>0</v>
      </c>
      <c r="D84" s="5" t="n">
        <f aca="false">(( -A84 - (-0.25) ) * SIN(RADIANS($F$1)) + (B84 - 0) * COS(RADIANS($F$1)) - 0.25 * SIN(RADIANS($F$1))) * $E$1 + ($G$1 * TAN(RADIANS($I$1)))</f>
        <v>-8.40321816980904</v>
      </c>
      <c r="E84" s="5" t="n">
        <f aca="false">(( -A84 - (-0.25) ) * COS(RADIANS($F$1)) - (B84 - 0) * SIN(RADIANS($F$1)) + (-0.25)) * $E$1 - ($G$1 * TAN(RADIANS($H$1))) - $J$1</f>
        <v>-873.555526735965</v>
      </c>
    </row>
    <row r="85" customFormat="false" ht="15" hidden="false" customHeight="false" outlineLevel="0" collapsed="false">
      <c r="A85" s="5" t="n">
        <v>0.159492</v>
      </c>
      <c r="B85" s="5" t="n">
        <v>-0.054372</v>
      </c>
      <c r="C85" s="5" t="n">
        <f aca="false">$G$1</f>
        <v>0</v>
      </c>
      <c r="D85" s="5" t="n">
        <f aca="false">(( -A85 - (-0.25) ) * SIN(RADIANS($F$1)) + (B85 - 0) * COS(RADIANS($F$1)) - 0.25 * SIN(RADIANS($F$1))) * $E$1 + ($G$1 * TAN(RADIANS($I$1)))</f>
        <v>-8.60478316397512</v>
      </c>
      <c r="E85" s="5" t="n">
        <f aca="false">(( -A85 - (-0.25) ) * COS(RADIANS($F$1)) - (B85 - 0) * SIN(RADIANS($F$1)) + (-0.25)) * $E$1 - ($G$1 * TAN(RADIANS($H$1))) - $J$1</f>
        <v>-876.615011581623</v>
      </c>
    </row>
    <row r="86" customFormat="false" ht="15" hidden="false" customHeight="false" outlineLevel="0" collapsed="false">
      <c r="A86" s="5" t="n">
        <v>0.177579</v>
      </c>
      <c r="B86" s="5" t="n">
        <v>-0.055886</v>
      </c>
      <c r="C86" s="5" t="n">
        <f aca="false">$G$1</f>
        <v>0</v>
      </c>
      <c r="D86" s="5" t="n">
        <f aca="false">(( -A86 - (-0.25) ) * SIN(RADIANS($F$1)) + (B86 - 0) * COS(RADIANS($F$1)) - 0.25 * SIN(RADIANS($F$1))) * $E$1 + ($G$1 * TAN(RADIANS($I$1)))</f>
        <v>-8.76036475795352</v>
      </c>
      <c r="E86" s="5" t="n">
        <f aca="false">(( -A86 - (-0.25) ) * COS(RADIANS($F$1)) - (B86 - 0) * SIN(RADIANS($F$1)) + (-0.25)) * $E$1 - ($G$1 * TAN(RADIANS($H$1))) - $J$1</f>
        <v>-879.813411561204</v>
      </c>
    </row>
    <row r="87" customFormat="false" ht="15" hidden="false" customHeight="false" outlineLevel="0" collapsed="false">
      <c r="A87" s="5" t="n">
        <v>0.196419</v>
      </c>
      <c r="B87" s="5" t="n">
        <v>-0.057164</v>
      </c>
      <c r="C87" s="5" t="n">
        <f aca="false">$G$1</f>
        <v>0</v>
      </c>
      <c r="D87" s="5" t="n">
        <f aca="false">(( -A87 - (-0.25) ) * SIN(RADIANS($F$1)) + (B87 - 0) * COS(RADIANS($F$1)) - 0.25 * SIN(RADIANS($F$1))) * $E$1 + ($G$1 * TAN(RADIANS($I$1)))</f>
        <v>-8.86969875444711</v>
      </c>
      <c r="E87" s="5" t="n">
        <f aca="false">(( -A87 - (-0.25) ) * COS(RADIANS($F$1)) - (B87 - 0) * SIN(RADIANS($F$1)) + (-0.25)) * $E$1 - ($G$1 * TAN(RADIANS($H$1))) - $J$1</f>
        <v>-883.143126495074</v>
      </c>
    </row>
    <row r="88" customFormat="false" ht="15" hidden="false" customHeight="false" outlineLevel="0" collapsed="false">
      <c r="A88" s="5" t="n">
        <v>0.215968</v>
      </c>
      <c r="B88" s="5" t="n">
        <v>-0.058205</v>
      </c>
      <c r="C88" s="5" t="n">
        <f aca="false">$G$1</f>
        <v>0</v>
      </c>
      <c r="D88" s="5" t="n">
        <f aca="false">(( -A88 - (-0.25) ) * SIN(RADIANS($F$1)) + (B88 - 0) * COS(RADIANS($F$1)) - 0.25 * SIN(RADIANS($F$1))) * $E$1 + ($G$1 * TAN(RADIANS($I$1)))</f>
        <v>-8.93287975093135</v>
      </c>
      <c r="E88" s="5" t="n">
        <f aca="false">(( -A88 - (-0.25) ) * COS(RADIANS($F$1)) - (B88 - 0) * SIN(RADIANS($F$1)) + (-0.25)) * $E$1 - ($G$1 * TAN(RADIANS($H$1))) - $J$1</f>
        <v>-886.59639219918</v>
      </c>
    </row>
    <row r="89" customFormat="false" ht="15" hidden="false" customHeight="false" outlineLevel="0" collapsed="false">
      <c r="A89" s="5" t="n">
        <v>0.23618</v>
      </c>
      <c r="B89" s="5" t="n">
        <v>-0.059008</v>
      </c>
      <c r="C89" s="5" t="n">
        <f aca="false">$G$1</f>
        <v>0</v>
      </c>
      <c r="D89" s="5" t="n">
        <f aca="false">(( -A89 - (-0.25) ) * SIN(RADIANS($F$1)) + (B89 - 0) * COS(RADIANS($F$1)) - 0.25 * SIN(RADIANS($F$1))) * $E$1 + ($G$1 * TAN(RADIANS($I$1)))</f>
        <v>-8.95001465925749</v>
      </c>
      <c r="E89" s="5" t="n">
        <f aca="false">(( -A89 - (-0.25) ) * COS(RADIANS($F$1)) - (B89 - 0) * SIN(RADIANS($F$1)) + (-0.25)) * $E$1 - ($G$1 * TAN(RADIANS($H$1))) - $J$1</f>
        <v>-890.165091851888</v>
      </c>
    </row>
    <row r="90" customFormat="false" ht="15" hidden="false" customHeight="false" outlineLevel="0" collapsed="false">
      <c r="A90" s="5" t="n">
        <v>0.257008</v>
      </c>
      <c r="B90" s="5" t="n">
        <v>-0.059576</v>
      </c>
      <c r="C90" s="5" t="n">
        <f aca="false">$G$1</f>
        <v>0</v>
      </c>
      <c r="D90" s="5" t="n">
        <f aca="false">(( -A90 - (-0.25) ) * SIN(RADIANS($F$1)) + (B90 - 0) * COS(RADIANS($F$1)) - 0.25 * SIN(RADIANS($F$1))) * $E$1 + ($G$1 * TAN(RADIANS($I$1)))</f>
        <v>-8.92192182363407</v>
      </c>
      <c r="E90" s="5" t="n">
        <f aca="false">(( -A90 - (-0.25) ) * COS(RADIANS($F$1)) - (B90 - 0) * SIN(RADIANS($F$1)) + (-0.25)) * $E$1 - ($G$1 * TAN(RADIANS($H$1))) - $J$1</f>
        <v>-893.840956941522</v>
      </c>
    </row>
    <row r="91" customFormat="false" ht="15" hidden="false" customHeight="false" outlineLevel="0" collapsed="false">
      <c r="A91" s="5" t="n">
        <v>0.278404</v>
      </c>
      <c r="B91" s="5" t="n">
        <v>-0.05991</v>
      </c>
      <c r="C91" s="5" t="n">
        <f aca="false">$G$1</f>
        <v>0</v>
      </c>
      <c r="D91" s="5" t="n">
        <f aca="false">(( -A91 - (-0.25) ) * SIN(RADIANS($F$1)) + (B91 - 0) * COS(RADIANS($F$1)) - 0.25 * SIN(RADIANS($F$1))) * $E$1 + ($G$1 * TAN(RADIANS($I$1)))</f>
        <v>-8.84907310787285</v>
      </c>
      <c r="E91" s="5" t="n">
        <f aca="false">(( -A91 - (-0.25) ) * COS(RADIANS($F$1)) - (B91 - 0) * SIN(RADIANS($F$1)) + (-0.25)) * $E$1 - ($G$1 * TAN(RADIANS($H$1))) - $J$1</f>
        <v>-897.615530323236</v>
      </c>
    </row>
    <row r="92" customFormat="false" ht="15" hidden="false" customHeight="false" outlineLevel="0" collapsed="false">
      <c r="A92" s="5" t="n">
        <v>0.300318</v>
      </c>
      <c r="B92" s="5" t="n">
        <v>-0.060017</v>
      </c>
      <c r="C92" s="5" t="n">
        <f aca="false">$G$1</f>
        <v>0</v>
      </c>
      <c r="D92" s="5" t="n">
        <f aca="false">(( -A92 - (-0.25) ) * SIN(RADIANS($F$1)) + (B92 - 0) * COS(RADIANS($F$1)) - 0.25 * SIN(RADIANS($F$1))) * $E$1 + ($G$1 * TAN(RADIANS($I$1)))</f>
        <v>-8.73301060291543</v>
      </c>
      <c r="E92" s="5" t="n">
        <f aca="false">(( -A92 - (-0.25) ) * COS(RADIANS($F$1)) - (B92 - 0) * SIN(RADIANS($F$1)) + (-0.25)) * $E$1 - ($G$1 * TAN(RADIANS($H$1))) - $J$1</f>
        <v>-901.480039157729</v>
      </c>
    </row>
    <row r="93" customFormat="false" ht="15" hidden="false" customHeight="false" outlineLevel="0" collapsed="false">
      <c r="A93" s="5" t="n">
        <v>0.322698</v>
      </c>
      <c r="B93" s="5" t="n">
        <v>-0.059903</v>
      </c>
      <c r="C93" s="5" t="n">
        <f aca="false">$G$1</f>
        <v>0</v>
      </c>
      <c r="D93" s="5" t="n">
        <f aca="false">(( -A93 - (-0.25) ) * SIN(RADIANS($F$1)) + (B93 - 0) * COS(RADIANS($F$1)) - 0.25 * SIN(RADIANS($F$1))) * $E$1 + ($G$1 * TAN(RADIANS($I$1)))</f>
        <v>-8.57511239528692</v>
      </c>
      <c r="E93" s="5" t="n">
        <f aca="false">(( -A93 - (-0.25) ) * COS(RADIANS($F$1)) - (B93 - 0) * SIN(RADIANS($F$1)) + (-0.25)) * $E$1 - ($G$1 * TAN(RADIANS($H$1))) - $J$1</f>
        <v>-905.425351810927</v>
      </c>
    </row>
    <row r="94" customFormat="false" ht="15" hidden="false" customHeight="false" outlineLevel="0" collapsed="false">
      <c r="A94" s="5" t="n">
        <v>0.345492</v>
      </c>
      <c r="B94" s="5" t="n">
        <v>-0.059575</v>
      </c>
      <c r="C94" s="5" t="n">
        <f aca="false">$G$1</f>
        <v>0</v>
      </c>
      <c r="D94" s="5" t="n">
        <f aca="false">(( -A94 - (-0.25) ) * SIN(RADIANS($F$1)) + (B94 - 0) * COS(RADIANS($F$1)) - 0.25 * SIN(RADIANS($F$1))) * $E$1 + ($G$1 * TAN(RADIANS($I$1)))</f>
        <v>-8.37693289030474</v>
      </c>
      <c r="E94" s="5" t="n">
        <f aca="false">(( -A94 - (-0.25) ) * COS(RADIANS($F$1)) - (B94 - 0) * SIN(RADIANS($F$1)) + (-0.25)) * $E$1 - ($G$1 * TAN(RADIANS($H$1))) - $J$1</f>
        <v>-909.442342805943</v>
      </c>
    </row>
    <row r="95" customFormat="false" ht="15" hidden="false" customHeight="false" outlineLevel="0" collapsed="false">
      <c r="A95" s="5" t="n">
        <v>0.368646</v>
      </c>
      <c r="B95" s="5" t="n">
        <v>-0.059042</v>
      </c>
      <c r="C95" s="5" t="n">
        <f aca="false">$G$1</f>
        <v>0</v>
      </c>
      <c r="D95" s="5" t="n">
        <f aca="false">(( -A95 - (-0.25) ) * SIN(RADIANS($F$1)) + (B95 - 0) * COS(RADIANS($F$1)) - 0.25 * SIN(RADIANS($F$1))) * $E$1 + ($G$1 * TAN(RADIANS($I$1)))</f>
        <v>-8.1403914452468</v>
      </c>
      <c r="E95" s="5" t="n">
        <f aca="false">(( -A95 - (-0.25) ) * COS(RADIANS($F$1)) - (B95 - 0) * SIN(RADIANS($F$1)) + (-0.25)) * $E$1 - ($G$1 * TAN(RADIANS($H$1))) - $J$1</f>
        <v>-913.521546342681</v>
      </c>
    </row>
    <row r="96" customFormat="false" ht="15" hidden="false" customHeight="false" outlineLevel="0" collapsed="false">
      <c r="A96" s="5" t="n">
        <v>0.392108</v>
      </c>
      <c r="B96" s="5" t="n">
        <v>-0.058314</v>
      </c>
      <c r="C96" s="5" t="n">
        <f aca="false">$G$1</f>
        <v>0</v>
      </c>
      <c r="D96" s="5" t="n">
        <f aca="false">(( -A96 - (-0.25) ) * SIN(RADIANS($F$1)) + (B96 - 0) * COS(RADIANS($F$1)) - 0.25 * SIN(RADIANS($F$1))) * $E$1 + ($G$1 * TAN(RADIANS($I$1)))</f>
        <v>-7.86757142180755</v>
      </c>
      <c r="E96" s="5" t="n">
        <f aca="false">(( -A96 - (-0.25) ) * COS(RADIANS($F$1)) - (B96 - 0) * SIN(RADIANS($F$1)) + (-0.25)) * $E$1 - ($G$1 * TAN(RADIANS($H$1))) - $J$1</f>
        <v>-917.65385541582</v>
      </c>
    </row>
    <row r="97" customFormat="false" ht="15" hidden="false" customHeight="false" outlineLevel="0" collapsed="false">
      <c r="A97" s="5" t="n">
        <v>0.415822</v>
      </c>
      <c r="B97" s="5" t="n">
        <v>-0.057403</v>
      </c>
      <c r="C97" s="5" t="n">
        <f aca="false">$G$1</f>
        <v>0</v>
      </c>
      <c r="D97" s="5" t="n">
        <f aca="false">(( -A97 - (-0.25) ) * SIN(RADIANS($F$1)) + (B97 - 0) * COS(RADIANS($F$1)) - 0.25 * SIN(RADIANS($F$1))) * $E$1 + ($G$1 * TAN(RADIANS($I$1)))</f>
        <v>-7.56093344801777</v>
      </c>
      <c r="E97" s="5" t="n">
        <f aca="false">(( -A97 - (-0.25) ) * COS(RADIANS($F$1)) - (B97 - 0) * SIN(RADIANS($F$1)) + (-0.25)) * $E$1 - ($G$1 * TAN(RADIANS($H$1))) - $J$1</f>
        <v>-921.829470059242</v>
      </c>
    </row>
    <row r="98" customFormat="false" ht="15" hidden="false" customHeight="false" outlineLevel="0" collapsed="false">
      <c r="A98" s="5" t="n">
        <v>0.439732</v>
      </c>
      <c r="B98" s="5" t="n">
        <v>-0.05632</v>
      </c>
      <c r="C98" s="5" t="n">
        <f aca="false">$G$1</f>
        <v>0</v>
      </c>
      <c r="D98" s="5" t="n">
        <f aca="false">(( -A98 - (-0.25) ) * SIN(RADIANS($F$1)) + (B98 - 0) * COS(RADIANS($F$1)) - 0.25 * SIN(RADIANS($F$1))) * $E$1 + ($G$1 * TAN(RADIANS($I$1)))</f>
        <v>-7.22276183311584</v>
      </c>
      <c r="E98" s="5" t="n">
        <f aca="false">(( -A98 - (-0.25) ) * COS(RADIANS($F$1)) - (B98 - 0) * SIN(RADIANS($F$1)) + (-0.25)) * $E$1 - ($G$1 * TAN(RADIANS($H$1))) - $J$1</f>
        <v>-926.038584149644</v>
      </c>
    </row>
    <row r="99" customFormat="false" ht="15" hidden="false" customHeight="false" outlineLevel="0" collapsed="false">
      <c r="A99" s="5" t="n">
        <v>0.463783</v>
      </c>
      <c r="B99" s="5" t="n">
        <v>-0.055077</v>
      </c>
      <c r="C99" s="5" t="n">
        <f aca="false">$G$1</f>
        <v>0</v>
      </c>
      <c r="D99" s="5" t="n">
        <f aca="false">(( -A99 - (-0.25) ) * SIN(RADIANS($F$1)) + (B99 - 0) * COS(RADIANS($F$1)) - 0.25 * SIN(RADIANS($F$1))) * $E$1 + ($G$1 * TAN(RADIANS($I$1)))</f>
        <v>-6.85551104794464</v>
      </c>
      <c r="E99" s="5" t="n">
        <f aca="false">(( -A99 - (-0.25) ) * COS(RADIANS($F$1)) - (B99 - 0) * SIN(RADIANS($F$1)) + (-0.25)) * $E$1 - ($G$1 * TAN(RADIANS($H$1))) - $J$1</f>
        <v>-930.271574039702</v>
      </c>
    </row>
    <row r="100" customFormat="false" ht="15" hidden="false" customHeight="false" outlineLevel="0" collapsed="false">
      <c r="A100" s="5" t="n">
        <v>0.487918</v>
      </c>
      <c r="B100" s="5" t="n">
        <v>-0.053687</v>
      </c>
      <c r="C100" s="5" t="n">
        <f aca="false">$G$1</f>
        <v>0</v>
      </c>
      <c r="D100" s="5" t="n">
        <f aca="false">(( -A100 - (-0.25) ) * SIN(RADIANS($F$1)) + (B100 - 0) * COS(RADIANS($F$1)) - 0.25 * SIN(RADIANS($F$1))) * $E$1 + ($G$1 * TAN(RADIANS($I$1)))</f>
        <v>-6.46182419651516</v>
      </c>
      <c r="E100" s="5" t="n">
        <f aca="false">(( -A100 - (-0.25) ) * COS(RADIANS($F$1)) - (B100 - 0) * SIN(RADIANS($F$1)) + (-0.25)) * $E$1 - ($G$1 * TAN(RADIANS($H$1))) - $J$1</f>
        <v>-934.518469601694</v>
      </c>
    </row>
    <row r="101" customFormat="false" ht="15" hidden="false" customHeight="false" outlineLevel="0" collapsed="false">
      <c r="A101" s="5" t="n">
        <v>0.512082</v>
      </c>
      <c r="B101" s="5" t="n">
        <v>-0.052162</v>
      </c>
      <c r="C101" s="5" t="n">
        <f aca="false">$G$1</f>
        <v>0</v>
      </c>
      <c r="D101" s="5" t="n">
        <f aca="false">(( -A101 - (-0.25) ) * SIN(RADIANS($F$1)) + (B101 - 0) * COS(RADIANS($F$1)) - 0.25 * SIN(RADIANS($F$1))) * $E$1 + ($G$1 * TAN(RADIANS($I$1)))</f>
        <v>-6.04415574967025</v>
      </c>
      <c r="E101" s="5" t="n">
        <f aca="false">(( -A101 - (-0.25) ) * COS(RADIANS($F$1)) - (B101 - 0) * SIN(RADIANS($F$1)) + (-0.25)) * $E$1 - ($G$1 * TAN(RADIANS($H$1))) - $J$1</f>
        <v>-938.769647188297</v>
      </c>
    </row>
    <row r="102" customFormat="false" ht="15" hidden="false" customHeight="false" outlineLevel="0" collapsed="false">
      <c r="A102" s="5" t="n">
        <v>0.536217</v>
      </c>
      <c r="B102" s="5" t="n">
        <v>-0.050516</v>
      </c>
      <c r="C102" s="5" t="n">
        <f aca="false">$G$1</f>
        <v>0</v>
      </c>
      <c r="D102" s="5" t="n">
        <f aca="false">(( -A102 - (-0.25) ) * SIN(RADIANS($F$1)) + (B102 - 0) * COS(RADIANS($F$1)) - 0.25 * SIN(RADIANS($F$1))) * $E$1 + ($G$1 * TAN(RADIANS($I$1)))</f>
        <v>-5.60533128740116</v>
      </c>
      <c r="E102" s="5" t="n">
        <f aca="false">(( -A102 - (-0.25) ) * COS(RADIANS($F$1)) - (B102 - 0) * SIN(RADIANS($F$1)) + (-0.25)) * $E$1 - ($G$1 * TAN(RADIANS($H$1))) - $J$1</f>
        <v>-943.014966510185</v>
      </c>
    </row>
    <row r="103" customFormat="false" ht="15" hidden="false" customHeight="false" outlineLevel="0" collapsed="false">
      <c r="A103" s="5" t="n">
        <v>0.560268</v>
      </c>
      <c r="B103" s="5" t="n">
        <v>-0.048762</v>
      </c>
      <c r="C103" s="5" t="n">
        <f aca="false">$G$1</f>
        <v>0</v>
      </c>
      <c r="D103" s="5" t="n">
        <f aca="false">(( -A103 - (-0.25) ) * SIN(RADIANS($F$1)) + (B103 - 0) * COS(RADIANS($F$1)) - 0.25 * SIN(RADIANS($F$1))) * $E$1 + ($G$1 * TAN(RADIANS($I$1)))</f>
        <v>-5.14798159934308</v>
      </c>
      <c r="E103" s="5" t="n">
        <f aca="false">(( -A103 - (-0.25) ) * COS(RADIANS($F$1)) - (B103 - 0) * SIN(RADIANS($F$1)) + (-0.25)) * $E$1 - ($G$1 * TAN(RADIANS($H$1))) - $J$1</f>
        <v>-947.244810077224</v>
      </c>
    </row>
    <row r="104" customFormat="false" ht="15" hidden="false" customHeight="false" outlineLevel="0" collapsed="false">
      <c r="A104" s="5" t="n">
        <v>0.584179</v>
      </c>
      <c r="B104" s="5" t="n">
        <v>-0.046912</v>
      </c>
      <c r="C104" s="5" t="n">
        <f aca="false">$G$1</f>
        <v>0</v>
      </c>
      <c r="D104" s="5" t="n">
        <f aca="false">(( -A104 - (-0.25) ) * SIN(RADIANS($F$1)) + (B104 - 0) * COS(RADIANS($F$1)) - 0.25 * SIN(RADIANS($F$1))) * $E$1 + ($G$1 * TAN(RADIANS($I$1)))</f>
        <v>-4.67456731352678</v>
      </c>
      <c r="E104" s="5" t="n">
        <f aca="false">(( -A104 - (-0.25) ) * COS(RADIANS($F$1)) - (B104 - 0) * SIN(RADIANS($F$1)) + (-0.25)) * $E$1 - ($G$1 * TAN(RADIANS($H$1))) - $J$1</f>
        <v>-951.449377923295</v>
      </c>
    </row>
    <row r="105" customFormat="false" ht="15" hidden="false" customHeight="false" outlineLevel="0" collapsed="false">
      <c r="A105" s="5" t="n">
        <v>0.607892</v>
      </c>
      <c r="B105" s="5" t="n">
        <v>-0.04498</v>
      </c>
      <c r="C105" s="5" t="n">
        <f aca="false">$G$1</f>
        <v>0</v>
      </c>
      <c r="D105" s="5" t="n">
        <f aca="false">(( -A105 - (-0.25) ) * SIN(RADIANS($F$1)) + (B105 - 0) * COS(RADIANS($F$1)) - 0.25 * SIN(RADIANS($F$1))) * $E$1 + ($G$1 * TAN(RADIANS($I$1)))</f>
        <v>-4.18791400994349</v>
      </c>
      <c r="E105" s="5" t="n">
        <f aca="false">(( -A105 - (-0.25) ) * COS(RADIANS($F$1)) - (B105 - 0) * SIN(RADIANS($F$1)) + (-0.25)) * $E$1 - ($G$1 * TAN(RADIANS($H$1))) - $J$1</f>
        <v>-955.618529759075</v>
      </c>
    </row>
    <row r="106" customFormat="false" ht="15" hidden="false" customHeight="false" outlineLevel="0" collapsed="false">
      <c r="A106" s="5" t="n">
        <v>0.631354</v>
      </c>
      <c r="B106" s="5" t="n">
        <v>-0.042978</v>
      </c>
      <c r="C106" s="5" t="n">
        <f aca="false">$G$1</f>
        <v>0</v>
      </c>
      <c r="D106" s="5" t="n">
        <f aca="false">(( -A106 - (-0.25) ) * SIN(RADIANS($F$1)) + (B106 - 0) * COS(RADIANS($F$1)) - 0.25 * SIN(RADIANS($F$1))) * $E$1 + ($G$1 * TAN(RADIANS($I$1)))</f>
        <v>-3.69046384506026</v>
      </c>
      <c r="E106" s="5" t="n">
        <f aca="false">(( -A106 - (-0.25) ) * COS(RADIANS($F$1)) - (B106 - 0) * SIN(RADIANS($F$1)) + (-0.25)) * $E$1 - ($G$1 * TAN(RADIANS($H$1))) - $J$1</f>
        <v>-959.742994574823</v>
      </c>
    </row>
    <row r="107" customFormat="false" ht="15" hidden="false" customHeight="false" outlineLevel="0" collapsed="false">
      <c r="A107" s="5" t="n">
        <v>0.654509</v>
      </c>
      <c r="B107" s="5" t="n">
        <v>-0.040917</v>
      </c>
      <c r="C107" s="5" t="n">
        <f aca="false">$G$1</f>
        <v>0</v>
      </c>
      <c r="D107" s="5" t="n">
        <f aca="false">(( -A107 - (-0.25) ) * SIN(RADIANS($F$1)) + (B107 - 0) * COS(RADIANS($F$1)) - 0.25 * SIN(RADIANS($F$1))) * $E$1 + ($G$1 * TAN(RADIANS($I$1)))</f>
        <v>-3.18450112811551</v>
      </c>
      <c r="E107" s="5" t="n">
        <f aca="false">(( -A107 - (-0.25) ) * COS(RADIANS($F$1)) - (B107 - 0) * SIN(RADIANS($F$1)) + (-0.25)) * $E$1 - ($G$1 * TAN(RADIANS($H$1))) - $J$1</f>
        <v>-963.812966247236</v>
      </c>
    </row>
    <row r="108" customFormat="false" ht="15" hidden="false" customHeight="false" outlineLevel="0" collapsed="false">
      <c r="A108" s="5" t="n">
        <v>0.677303</v>
      </c>
      <c r="B108" s="5" t="n">
        <v>-0.038811</v>
      </c>
      <c r="C108" s="5" t="n">
        <f aca="false">$G$1</f>
        <v>0</v>
      </c>
      <c r="D108" s="5" t="n">
        <f aca="false">(( -A108 - (-0.25) ) * SIN(RADIANS($F$1)) + (B108 - 0) * COS(RADIANS($F$1)) - 0.25 * SIN(RADIANS($F$1))) * $E$1 + ($G$1 * TAN(RADIANS($I$1)))</f>
        <v>-2.67282681034886</v>
      </c>
      <c r="E108" s="5" t="n">
        <f aca="false">(( -A108 - (-0.25) ) * COS(RADIANS($F$1)) - (B108 - 0) * SIN(RADIANS($F$1)) + (-0.25)) * $E$1 - ($G$1 * TAN(RADIANS($H$1))) - $J$1</f>
        <v>-967.819009762158</v>
      </c>
    </row>
    <row r="109" customFormat="false" ht="15" hidden="false" customHeight="false" outlineLevel="0" collapsed="false">
      <c r="A109" s="5" t="n">
        <v>0.699682</v>
      </c>
      <c r="B109" s="5" t="n">
        <v>-0.03667</v>
      </c>
      <c r="C109" s="5" t="n">
        <f aca="false">$G$1</f>
        <v>0</v>
      </c>
      <c r="D109" s="5" t="n">
        <f aca="false">(( -A109 - (-0.25) ) * SIN(RADIANS($F$1)) + (B109 - 0) * COS(RADIANS($F$1)) - 0.25 * SIN(RADIANS($F$1))) * $E$1 + ($G$1 * TAN(RADIANS($I$1)))</f>
        <v>-2.15753656783058</v>
      </c>
      <c r="E109" s="5" t="n">
        <f aca="false">(( -A109 - (-0.25) ) * COS(RADIANS($F$1)) - (B109 - 0) * SIN(RADIANS($F$1)) + (-0.25)) * $E$1 - ($G$1 * TAN(RADIANS($H$1))) - $J$1</f>
        <v>-971.751665476681</v>
      </c>
    </row>
    <row r="110" customFormat="false" ht="15" hidden="false" customHeight="false" outlineLevel="0" collapsed="false">
      <c r="A110" s="5" t="n">
        <v>0.721596</v>
      </c>
      <c r="B110" s="5" t="n">
        <v>-0.034506</v>
      </c>
      <c r="C110" s="5" t="n">
        <f aca="false">$G$1</f>
        <v>0</v>
      </c>
      <c r="D110" s="5" t="n">
        <f aca="false">(( -A110 - (-0.25) ) * SIN(RADIANS($F$1)) + (B110 - 0) * COS(RADIANS($F$1)) - 0.25 * SIN(RADIANS($F$1))) * $E$1 + ($G$1 * TAN(RADIANS($I$1)))</f>
        <v>-1.641054085464</v>
      </c>
      <c r="E110" s="5" t="n">
        <f aca="false">(( -A110 - (-0.25) ) * COS(RADIANS($F$1)) - (B110 - 0) * SIN(RADIANS($F$1)) + (-0.25)) * $E$1 - ($G$1 * TAN(RADIANS($H$1))) - $J$1</f>
        <v>-975.602191337443</v>
      </c>
    </row>
    <row r="111" customFormat="false" ht="15" hidden="false" customHeight="false" outlineLevel="0" collapsed="false">
      <c r="A111" s="5" t="n">
        <v>0.742992</v>
      </c>
      <c r="B111" s="5" t="n">
        <v>-0.032329</v>
      </c>
      <c r="C111" s="5" t="n">
        <f aca="false">$G$1</f>
        <v>0</v>
      </c>
      <c r="D111" s="5" t="n">
        <f aca="false">(( -A111 - (-0.25) ) * SIN(RADIANS($F$1)) + (B111 - 0) * COS(RADIANS($F$1)) - 0.25 * SIN(RADIANS($F$1))) * $E$1 + ($G$1 * TAN(RADIANS($I$1)))</f>
        <v>-1.12546888213147</v>
      </c>
      <c r="E111" s="5" t="n">
        <f aca="false">(( -A111 - (-0.25) ) * COS(RADIANS($F$1)) - (B111 - 0) * SIN(RADIANS($F$1)) + (-0.25)) * $E$1 - ($G$1 * TAN(RADIANS($H$1))) - $J$1</f>
        <v>-979.361304020329</v>
      </c>
    </row>
    <row r="112" customFormat="false" ht="15" hidden="false" customHeight="false" outlineLevel="0" collapsed="false">
      <c r="A112" s="5" t="n">
        <v>0.76382</v>
      </c>
      <c r="B112" s="5" t="n">
        <v>-0.030152</v>
      </c>
      <c r="C112" s="5" t="n">
        <f aca="false">$G$1</f>
        <v>0</v>
      </c>
      <c r="D112" s="5" t="n">
        <f aca="false">(( -A112 - (-0.25) ) * SIN(RADIANS($F$1)) + (B112 - 0) * COS(RADIANS($F$1)) - 0.25 * SIN(RADIANS($F$1))) * $E$1 + ($G$1 * TAN(RADIANS($I$1)))</f>
        <v>-0.613380961528663</v>
      </c>
      <c r="E112" s="5" t="n">
        <f aca="false">(( -A112 - (-0.25) ) * COS(RADIANS($F$1)) - (B112 - 0) * SIN(RADIANS($F$1)) + (-0.25)) * $E$1 - ($G$1 * TAN(RADIANS($H$1))) - $J$1</f>
        <v>-983.020267629165</v>
      </c>
    </row>
    <row r="113" customFormat="false" ht="15" hidden="false" customHeight="false" outlineLevel="0" collapsed="false">
      <c r="A113" s="5" t="n">
        <v>0.784032</v>
      </c>
      <c r="B113" s="5" t="n">
        <v>-0.027983</v>
      </c>
      <c r="C113" s="5" t="n">
        <f aca="false">$G$1</f>
        <v>0</v>
      </c>
      <c r="D113" s="5" t="n">
        <f aca="false">(( -A113 - (-0.25) ) * SIN(RADIANS($F$1)) + (B113 - 0) * COS(RADIANS($F$1)) - 0.25 * SIN(RADIANS($F$1))) * $E$1 + ($G$1 * TAN(RADIANS($I$1)))</f>
        <v>-0.106496419013736</v>
      </c>
      <c r="E113" s="5" t="n">
        <f aca="false">(( -A113 - (-0.25) ) * COS(RADIANS($F$1)) - (B113 - 0) * SIN(RADIANS($F$1)) + (-0.25)) * $E$1 - ($G$1 * TAN(RADIANS($H$1))) - $J$1</f>
        <v>-986.570668119421</v>
      </c>
    </row>
    <row r="114" customFormat="false" ht="15" hidden="false" customHeight="false" outlineLevel="0" collapsed="false">
      <c r="A114" s="5" t="n">
        <v>0.803581</v>
      </c>
      <c r="B114" s="5" t="n">
        <v>-0.025834</v>
      </c>
      <c r="C114" s="5" t="n">
        <f aca="false">$G$1</f>
        <v>0</v>
      </c>
      <c r="D114" s="5" t="n">
        <f aca="false">(( -A114 - (-0.25) ) * SIN(RADIANS($F$1)) + (B114 - 0) * COS(RADIANS($F$1)) - 0.25 * SIN(RADIANS($F$1))) * $E$1 + ($G$1 * TAN(RADIANS($I$1)))</f>
        <v>0.392779532073702</v>
      </c>
      <c r="E114" s="5" t="n">
        <f aca="false">(( -A114 - (-0.25) ) * COS(RADIANS($F$1)) - (B114 - 0) * SIN(RADIANS($F$1)) + (-0.25)) * $E$1 - ($G$1 * TAN(RADIANS($H$1))) - $J$1</f>
        <v>-990.004292394112</v>
      </c>
    </row>
    <row r="115" customFormat="false" ht="15" hidden="false" customHeight="false" outlineLevel="0" collapsed="false">
      <c r="A115" s="5" t="n">
        <v>0.822421</v>
      </c>
      <c r="B115" s="5" t="n">
        <v>-0.023714</v>
      </c>
      <c r="C115" s="5" t="n">
        <f aca="false">$G$1</f>
        <v>0</v>
      </c>
      <c r="D115" s="5" t="n">
        <f aca="false">(( -A115 - (-0.25) ) * SIN(RADIANS($F$1)) + (B115 - 0) * COS(RADIANS($F$1)) - 0.25 * SIN(RADIANS($F$1))) * $E$1 + ($G$1 * TAN(RADIANS($I$1)))</f>
        <v>0.88257679195896</v>
      </c>
      <c r="E115" s="5" t="n">
        <f aca="false">(( -A115 - (-0.25) ) * COS(RADIANS($F$1)) - (B115 - 0) * SIN(RADIANS($F$1)) + (-0.25)) * $E$1 - ($G$1 * TAN(RADIANS($H$1))) - $J$1</f>
        <v>-993.313085203482</v>
      </c>
    </row>
    <row r="116" customFormat="false" ht="15" hidden="false" customHeight="false" outlineLevel="0" collapsed="false">
      <c r="A116" s="5" t="n">
        <v>0.840508</v>
      </c>
      <c r="B116" s="5" t="n">
        <v>-0.021635</v>
      </c>
      <c r="C116" s="5" t="n">
        <f aca="false">$G$1</f>
        <v>0</v>
      </c>
      <c r="D116" s="5" t="n">
        <f aca="false">(( -A116 - (-0.25) ) * SIN(RADIANS($F$1)) + (B116 - 0) * COS(RADIANS($F$1)) - 0.25 * SIN(RADIANS($F$1))) * $E$1 + ($G$1 * TAN(RADIANS($I$1)))</f>
        <v>1.36050861886614</v>
      </c>
      <c r="E116" s="5" t="n">
        <f aca="false">(( -A116 - (-0.25) ) * COS(RADIANS($F$1)) - (B116 - 0) * SIN(RADIANS($F$1)) + (-0.25)) * $E$1 - ($G$1 * TAN(RADIANS($H$1))) - $J$1</f>
        <v>-996.489362406923</v>
      </c>
    </row>
    <row r="117" customFormat="false" ht="15" hidden="false" customHeight="false" outlineLevel="0" collapsed="false">
      <c r="A117" s="5" t="n">
        <v>0.8578</v>
      </c>
      <c r="B117" s="5" t="n">
        <v>-0.019605</v>
      </c>
      <c r="C117" s="5" t="n">
        <f aca="false">$G$1</f>
        <v>0</v>
      </c>
      <c r="D117" s="5" t="n">
        <f aca="false">(( -A117 - (-0.25) ) * SIN(RADIANS($F$1)) + (B117 - 0) * COS(RADIANS($F$1)) - 0.25 * SIN(RADIANS($F$1))) * $E$1 + ($G$1 * TAN(RADIANS($I$1)))</f>
        <v>1.82490586056452</v>
      </c>
      <c r="E117" s="5" t="n">
        <f aca="false">(( -A117 - (-0.25) ) * COS(RADIANS($F$1)) - (B117 - 0) * SIN(RADIANS($F$1)) + (-0.25)) * $E$1 - ($G$1 * TAN(RADIANS($H$1))) - $J$1</f>
        <v>-999.525767872658</v>
      </c>
    </row>
    <row r="118" customFormat="false" ht="15" hidden="false" customHeight="false" outlineLevel="0" collapsed="false">
      <c r="A118" s="5" t="n">
        <v>0.874255</v>
      </c>
      <c r="B118" s="5" t="n">
        <v>-0.017635</v>
      </c>
      <c r="C118" s="5" t="n">
        <f aca="false">$G$1</f>
        <v>0</v>
      </c>
      <c r="D118" s="5" t="n">
        <f aca="false">(( -A118 - (-0.25) ) * SIN(RADIANS($F$1)) + (B118 - 0) * COS(RADIANS($F$1)) - 0.25 * SIN(RADIANS($F$1))) * $E$1 + ($G$1 * TAN(RADIANS($I$1)))</f>
        <v>2.27357040844634</v>
      </c>
      <c r="E118" s="5" t="n">
        <f aca="false">(( -A118 - (-0.25) ) * COS(RADIANS($F$1)) - (B118 - 0) * SIN(RADIANS($F$1)) + (-0.25)) * $E$1 - ($G$1 * TAN(RADIANS($H$1))) - $J$1</f>
        <v>-1002.41496394048</v>
      </c>
    </row>
    <row r="119" customFormat="false" ht="15" hidden="false" customHeight="false" outlineLevel="0" collapsed="false">
      <c r="A119" s="5" t="n">
        <v>0.889837</v>
      </c>
      <c r="B119" s="5" t="n">
        <v>-0.015735</v>
      </c>
      <c r="C119" s="5" t="n">
        <f aca="false">$G$1</f>
        <v>0</v>
      </c>
      <c r="D119" s="5" t="n">
        <f aca="false">(( -A119 - (-0.25) ) * SIN(RADIANS($F$1)) + (B119 - 0) * COS(RADIANS($F$1)) - 0.25 * SIN(RADIANS($F$1))) * $E$1 + ($G$1 * TAN(RADIANS($I$1)))</f>
        <v>2.70451741582363</v>
      </c>
      <c r="E119" s="5" t="n">
        <f aca="false">(( -A119 - (-0.25) ) * COS(RADIANS($F$1)) - (B119 - 0) * SIN(RADIANS($F$1)) + (-0.25)) * $E$1 - ($G$1 * TAN(RADIANS($H$1))) - $J$1</f>
        <v>-1005.15066470574</v>
      </c>
    </row>
    <row r="120" customFormat="false" ht="15" hidden="false" customHeight="false" outlineLevel="0" collapsed="false">
      <c r="A120" s="5" t="n">
        <v>0.904509</v>
      </c>
      <c r="B120" s="5" t="n">
        <v>-0.013914</v>
      </c>
      <c r="C120" s="5" t="n">
        <f aca="false">$G$1</f>
        <v>0</v>
      </c>
      <c r="D120" s="5" t="n">
        <f aca="false">(( -A120 - (-0.25) ) * SIN(RADIANS($F$1)) + (B120 - 0) * COS(RADIANS($F$1)) - 0.25 * SIN(RADIANS($F$1))) * $E$1 + ($G$1 * TAN(RADIANS($I$1)))</f>
        <v>3.11593219761284</v>
      </c>
      <c r="E120" s="5" t="n">
        <f aca="false">(( -A120 - (-0.25) ) * COS(RADIANS($F$1)) - (B120 - 0) * SIN(RADIANS($F$1)) + (-0.25)) * $E$1 - ($G$1 * TAN(RADIANS($H$1))) - $J$1</f>
        <v>-1007.72640178781</v>
      </c>
    </row>
    <row r="121" customFormat="false" ht="15" hidden="false" customHeight="false" outlineLevel="0" collapsed="false">
      <c r="A121" s="5" t="n">
        <v>0.918235</v>
      </c>
      <c r="B121" s="5" t="n">
        <v>-0.012182</v>
      </c>
      <c r="C121" s="5" t="n">
        <f aca="false">$G$1</f>
        <v>0</v>
      </c>
      <c r="D121" s="5" t="n">
        <f aca="false">(( -A121 - (-0.25) ) * SIN(RADIANS($F$1)) + (B121 - 0) * COS(RADIANS($F$1)) - 0.25 * SIN(RADIANS($F$1))) * $E$1 + ($G$1 * TAN(RADIANS($I$1)))</f>
        <v>3.50582990712598</v>
      </c>
      <c r="E121" s="5" t="n">
        <f aca="false">(( -A121 - (-0.25) ) * COS(RADIANS($F$1)) - (B121 - 0) * SIN(RADIANS($F$1)) + (-0.25)) * $E$1 - ($G$1 * TAN(RADIANS($H$1))) - $J$1</f>
        <v>-1010.13588928205</v>
      </c>
    </row>
    <row r="122" customFormat="false" ht="15" hidden="false" customHeight="false" outlineLevel="0" collapsed="false">
      <c r="A122" s="5" t="n">
        <v>0.930985</v>
      </c>
      <c r="B122" s="5" t="n">
        <v>-0.010549</v>
      </c>
      <c r="C122" s="5" t="n">
        <f aca="false">$G$1</f>
        <v>0</v>
      </c>
      <c r="D122" s="5" t="n">
        <f aca="false">(( -A122 - (-0.25) ) * SIN(RADIANS($F$1)) + (B122 - 0) * COS(RADIANS($F$1)) - 0.25 * SIN(RADIANS($F$1))) * $E$1 + ($G$1 * TAN(RADIANS($I$1)))</f>
        <v>3.8722626408025</v>
      </c>
      <c r="E122" s="5" t="n">
        <f aca="false">(( -A122 - (-0.25) ) * COS(RADIANS($F$1)) - (B122 - 0) * SIN(RADIANS($F$1)) + (-0.25)) * $E$1 - ($G$1 * TAN(RADIANS($H$1))) - $J$1</f>
        <v>-1012.37389919656</v>
      </c>
    </row>
    <row r="123" customFormat="false" ht="15" hidden="false" customHeight="false" outlineLevel="0" collapsed="false">
      <c r="A123" s="5" t="n">
        <v>0.942728</v>
      </c>
      <c r="B123" s="5" t="n">
        <v>-0.009022</v>
      </c>
      <c r="C123" s="5" t="n">
        <f aca="false">$G$1</f>
        <v>0</v>
      </c>
      <c r="D123" s="5" t="n">
        <f aca="false">(( -A123 - (-0.25) ) * SIN(RADIANS($F$1)) + (B123 - 0) * COS(RADIANS($F$1)) - 0.25 * SIN(RADIANS($F$1))) * $E$1 + ($G$1 * TAN(RADIANS($I$1)))</f>
        <v>4.21380529427098</v>
      </c>
      <c r="E123" s="5" t="n">
        <f aca="false">(( -A123 - (-0.25) ) * COS(RADIANS($F$1)) - (B123 - 0) * SIN(RADIANS($F$1)) + (-0.25)) * $E$1 - ($G$1 * TAN(RADIANS($H$1))) - $J$1</f>
        <v>-1014.43500874911</v>
      </c>
    </row>
    <row r="124" customFormat="false" ht="15" hidden="false" customHeight="false" outlineLevel="0" collapsed="false">
      <c r="A124" s="5" t="n">
        <v>0.953437</v>
      </c>
      <c r="B124" s="5" t="n">
        <v>-0.007611</v>
      </c>
      <c r="C124" s="5" t="n">
        <f aca="false">$G$1</f>
        <v>0</v>
      </c>
      <c r="D124" s="5" t="n">
        <f aca="false">(( -A124 - (-0.25) ) * SIN(RADIANS($F$1)) + (B124 - 0) * COS(RADIANS($F$1)) - 0.25 * SIN(RADIANS($F$1))) * $E$1 + ($G$1 * TAN(RADIANS($I$1)))</f>
        <v>4.52852843553456</v>
      </c>
      <c r="E124" s="5" t="n">
        <f aca="false">(( -A124 - (-0.25) ) * COS(RADIANS($F$1)) - (B124 - 0) * SIN(RADIANS($F$1)) + (-0.25)) * $E$1 - ($G$1 * TAN(RADIANS($H$1))) - $J$1</f>
        <v>-1016.31451890416</v>
      </c>
    </row>
    <row r="125" customFormat="false" ht="15" hidden="false" customHeight="false" outlineLevel="0" collapsed="false">
      <c r="A125" s="5" t="n">
        <v>0.963087</v>
      </c>
      <c r="B125" s="5" t="n">
        <v>-0.006324</v>
      </c>
      <c r="C125" s="5" t="n">
        <f aca="false">$G$1</f>
        <v>0</v>
      </c>
      <c r="D125" s="5" t="n">
        <f aca="false">(( -A125 - (-0.25) ) * SIN(RADIANS($F$1)) + (B125 - 0) * COS(RADIANS($F$1)) - 0.25 * SIN(RADIANS($F$1))) * $E$1 + ($G$1 * TAN(RADIANS($I$1)))</f>
        <v>4.81486758455689</v>
      </c>
      <c r="E125" s="5" t="n">
        <f aca="false">(( -A125 - (-0.25) ) * COS(RADIANS($F$1)) - (B125 - 0) * SIN(RADIANS($F$1)) + (-0.25)) * $E$1 - ($G$1 * TAN(RADIANS($H$1))) - $J$1</f>
        <v>-1018.00807094943</v>
      </c>
    </row>
    <row r="126" customFormat="false" ht="15" hidden="false" customHeight="false" outlineLevel="0" collapsed="false">
      <c r="A126" s="5" t="n">
        <v>0.971656</v>
      </c>
      <c r="B126" s="5" t="n">
        <v>-0.005169</v>
      </c>
      <c r="C126" s="5" t="n">
        <f aca="false">$G$1</f>
        <v>0</v>
      </c>
      <c r="D126" s="5" t="n">
        <f aca="false">(( -A126 - (-0.25) ) * SIN(RADIANS($F$1)) + (B126 - 0) * COS(RADIANS($F$1)) - 0.25 * SIN(RADIANS($F$1))) * $E$1 + ($G$1 * TAN(RADIANS($I$1)))</f>
        <v>5.07127673286535</v>
      </c>
      <c r="E126" s="5" t="n">
        <f aca="false">(( -A126 - (-0.25) ) * COS(RADIANS($F$1)) - (B126 - 0) * SIN(RADIANS($F$1)) + (-0.25)) * $E$1 - ($G$1 * TAN(RADIANS($H$1))) - $J$1</f>
        <v>-1019.51183512899</v>
      </c>
    </row>
    <row r="127" customFormat="false" ht="15" hidden="false" customHeight="false" outlineLevel="0" collapsed="false">
      <c r="A127" s="5" t="n">
        <v>0.979123</v>
      </c>
      <c r="B127" s="5" t="n">
        <v>-0.004152</v>
      </c>
      <c r="C127" s="5" t="n">
        <f aca="false">$G$1</f>
        <v>0</v>
      </c>
      <c r="D127" s="5" t="n">
        <f aca="false">(( -A127 - (-0.25) ) * SIN(RADIANS($F$1)) + (B127 - 0) * COS(RADIANS($F$1)) - 0.25 * SIN(RADIANS($F$1))) * $E$1 + ($G$1 * TAN(RADIANS($I$1)))</f>
        <v>5.29656866675988</v>
      </c>
      <c r="E127" s="5" t="n">
        <f aca="false">(( -A127 - (-0.25) ) * COS(RADIANS($F$1)) - (B127 - 0) * SIN(RADIANS($F$1)) + (-0.25)) * $E$1 - ($G$1 * TAN(RADIANS($H$1))) - $J$1</f>
        <v>-1020.82214569131</v>
      </c>
    </row>
    <row r="128" customFormat="false" ht="15" hidden="false" customHeight="false" outlineLevel="0" collapsed="false">
      <c r="A128" s="5" t="n">
        <v>0.985471</v>
      </c>
      <c r="B128" s="5" t="n">
        <v>-0.00328</v>
      </c>
      <c r="C128" s="5" t="n">
        <f aca="false">$G$1</f>
        <v>0</v>
      </c>
      <c r="D128" s="5" t="n">
        <f aca="false">(( -A128 - (-0.25) ) * SIN(RADIANS($F$1)) + (B128 - 0) * COS(RADIANS($F$1)) - 0.25 * SIN(RADIANS($F$1))) * $E$1 + ($G$1 * TAN(RADIANS($I$1)))</f>
        <v>5.48940448249972</v>
      </c>
      <c r="E128" s="5" t="n">
        <f aca="false">(( -A128 - (-0.25) ) * COS(RADIANS($F$1)) - (B128 - 0) * SIN(RADIANS($F$1)) + (-0.25)) * $E$1 - ($G$1 * TAN(RADIANS($H$1))) - $J$1</f>
        <v>-1021.93604831724</v>
      </c>
    </row>
    <row r="129" customFormat="false" ht="15" hidden="false" customHeight="false" outlineLevel="0" collapsed="false">
      <c r="A129" s="5" t="n">
        <v>0.990685</v>
      </c>
      <c r="B129" s="5" t="n">
        <v>-0.00256</v>
      </c>
      <c r="C129" s="5" t="n">
        <f aca="false">$G$1</f>
        <v>0</v>
      </c>
      <c r="D129" s="5" t="n">
        <f aca="false">(( -A129 - (-0.25) ) * SIN(RADIANS($F$1)) + (B129 - 0) * COS(RADIANS($F$1)) - 0.25 * SIN(RADIANS($F$1))) * $E$1 + ($G$1 * TAN(RADIANS($I$1)))</f>
        <v>5.64845759071989</v>
      </c>
      <c r="E129" s="5" t="n">
        <f aca="false">(( -A129 - (-0.25) ) * COS(RADIANS($F$1)) - (B129 - 0) * SIN(RADIANS($F$1)) + (-0.25)) * $E$1 - ($G$1 * TAN(RADIANS($H$1))) - $J$1</f>
        <v>-1022.85094132522</v>
      </c>
    </row>
    <row r="130" customFormat="false" ht="15" hidden="false" customHeight="false" outlineLevel="0" collapsed="false">
      <c r="A130" s="5" t="n">
        <v>0.994753</v>
      </c>
      <c r="B130" s="5" t="n">
        <v>-0.001994</v>
      </c>
      <c r="C130" s="5" t="n">
        <f aca="false">$G$1</f>
        <v>0</v>
      </c>
      <c r="D130" s="5" t="n">
        <f aca="false">(( -A130 - (-0.25) ) * SIN(RADIANS($F$1)) + (B130 - 0) * COS(RADIANS($F$1)) - 0.25 * SIN(RADIANS($F$1))) * $E$1 + ($G$1 * TAN(RADIANS($I$1)))</f>
        <v>5.77330146758087</v>
      </c>
      <c r="E130" s="5" t="n">
        <f aca="false">(( -A130 - (-0.25) ) * COS(RADIANS($F$1)) - (B130 - 0) * SIN(RADIANS($F$1)) + (-0.25)) * $E$1 - ($G$1 * TAN(RADIANS($H$1))) - $J$1</f>
        <v>-1023.56472120412</v>
      </c>
    </row>
    <row r="131" customFormat="false" ht="15" hidden="false" customHeight="false" outlineLevel="0" collapsed="false">
      <c r="A131" s="5" t="n">
        <v>0.997666</v>
      </c>
      <c r="B131" s="5" t="n">
        <v>-0.001587</v>
      </c>
      <c r="C131" s="5" t="n">
        <f aca="false">$G$1</f>
        <v>0</v>
      </c>
      <c r="D131" s="5" t="n">
        <f aca="false">(( -A131 - (-0.25) ) * SIN(RADIANS($F$1)) + (B131 - 0) * COS(RADIANS($F$1)) - 0.25 * SIN(RADIANS($F$1))) * $E$1 + ($G$1 * TAN(RADIANS($I$1)))</f>
        <v>5.86299910442981</v>
      </c>
      <c r="E131" s="5" t="n">
        <f aca="false">(( -A131 - (-0.25) ) * COS(RADIANS($F$1)) - (B131 - 0) * SIN(RADIANS($F$1)) + (-0.25)) * $E$1 - ($G$1 * TAN(RADIANS($H$1))) - $J$1</f>
        <v>-1024.07583187073</v>
      </c>
    </row>
    <row r="132" customFormat="false" ht="15" hidden="false" customHeight="false" outlineLevel="0" collapsed="false">
      <c r="A132" s="5" t="n">
        <v>0.999416</v>
      </c>
      <c r="B132" s="5" t="n">
        <v>-0.001342</v>
      </c>
      <c r="C132" s="5" t="n">
        <f aca="false">$G$1</f>
        <v>0</v>
      </c>
      <c r="D132" s="5" t="n">
        <f aca="false">(( -A132 - (-0.25) ) * SIN(RADIANS($F$1)) + (B132 - 0) * COS(RADIANS($F$1)) - 0.25 * SIN(RADIANS($F$1))) * $E$1 + ($G$1 * TAN(RADIANS($I$1)))</f>
        <v>5.91697228738643</v>
      </c>
      <c r="E132" s="5" t="n">
        <f aca="false">(( -A132 - (-0.25) ) * COS(RADIANS($F$1)) - (B132 - 0) * SIN(RADIANS($F$1)) + (-0.25)) * $E$1 - ($G$1 * TAN(RADIANS($H$1))) - $J$1</f>
        <v>-1024.38288124629</v>
      </c>
    </row>
    <row r="133" customFormat="false" ht="15" hidden="false" customHeight="false" outlineLevel="0" collapsed="false">
      <c r="A133" s="5" t="n">
        <v>1</v>
      </c>
      <c r="B133" s="6" t="n">
        <v>0</v>
      </c>
      <c r="C133" s="5" t="n">
        <f aca="false">$G$1</f>
        <v>0</v>
      </c>
      <c r="D133" s="5" t="n">
        <f aca="false">(( -A133 - (-0.25) ) * SIN(RADIANS($F$1)) + (B133 - 0) * COS(RADIANS($F$1)) - 0.25 * SIN(RADIANS($F$1))) * $E$1 + ($G$1 * TAN(RADIANS($I$1)))</f>
        <v>6.15718790444588</v>
      </c>
      <c r="E133" s="5" t="n">
        <f aca="false">(( -A133 - (-0.25) ) * COS(RADIANS($F$1)) - (B133 - 0) * SIN(RADIANS($F$1)) + (-0.25)) * $E$1 - ($G$1 * TAN(RADIANS($H$1))) - $J$1</f>
        <v>-1024.47758847485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13"/>
    <col collapsed="false" customWidth="true" hidden="false" outlineLevel="0" max="11" min="6" style="0" width="17"/>
  </cols>
  <sheetData>
    <row r="1" customFormat="false" ht="15" hidden="false" customHeight="false" outlineLevel="0" collapsed="false">
      <c r="A1" s="1" t="s">
        <v>42</v>
      </c>
      <c r="E1" s="3" t="n">
        <v>176.426266456864</v>
      </c>
      <c r="F1" s="3" t="n">
        <v>-2</v>
      </c>
      <c r="G1" s="3" t="n">
        <v>207.300863086815</v>
      </c>
      <c r="H1" s="3" t="n">
        <v>0</v>
      </c>
      <c r="I1" s="3" t="n">
        <v>0</v>
      </c>
      <c r="J1" s="3" t="n">
        <v>848.131927603976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customFormat="false" ht="15" hidden="false" customHeight="false" outlineLevel="0" collapsed="false">
      <c r="A3" s="5" t="n">
        <v>1</v>
      </c>
      <c r="B3" s="6" t="n">
        <v>0</v>
      </c>
      <c r="C3" s="5" t="n">
        <f aca="false">$G$1</f>
        <v>207.300863086815</v>
      </c>
      <c r="D3" s="5" t="n">
        <f aca="false">(( -A3 - (-0.25) ) * SIN(RADIANS($F$1)) + (B3 - 0) * COS(RADIANS($F$1)) - 0.25 * SIN(RADIANS($F$1))) * $E$1 + ($G$1 * TAN(RADIANS($I$1)))</f>
        <v>6.15718790444588</v>
      </c>
      <c r="E3" s="5" t="n">
        <f aca="false">(( -A3 - (-0.25) ) * COS(RADIANS($F$1)) - (B3 - 0) * SIN(RADIANS($F$1)) + (-0.25)) * $E$1 - ($G$1 * TAN(RADIANS($H$1))) - $J$1</f>
        <v>-1024.47758847485</v>
      </c>
      <c r="G3" s="4" t="s">
        <v>40</v>
      </c>
    </row>
    <row r="4" customFormat="false" ht="15" hidden="false" customHeight="false" outlineLevel="0" collapsed="false">
      <c r="A4" s="5" t="n">
        <v>0.999416</v>
      </c>
      <c r="B4" s="5" t="n">
        <v>0.001342</v>
      </c>
      <c r="C4" s="5" t="n">
        <f aca="false">$G$1</f>
        <v>207.300863086815</v>
      </c>
      <c r="D4" s="5" t="n">
        <f aca="false">(( -A4 - (-0.25) ) * SIN(RADIANS($F$1)) + (B4 - 0) * COS(RADIANS($F$1)) - 0.25 * SIN(RADIANS($F$1))) * $E$1 + ($G$1 * TAN(RADIANS($I$1)))</f>
        <v>6.39021192603294</v>
      </c>
      <c r="E4" s="5" t="n">
        <f aca="false">(( -A4 - (-0.25) ) * COS(RADIANS($F$1)) - (B4 - 0) * SIN(RADIANS($F$1)) + (-0.25)) * $E$1 - ($G$1 * TAN(RADIANS($H$1))) - $J$1</f>
        <v>-1024.36635535396</v>
      </c>
      <c r="G4" s="4" t="s">
        <v>41</v>
      </c>
    </row>
    <row r="5" customFormat="false" ht="15" hidden="false" customHeight="false" outlineLevel="0" collapsed="false">
      <c r="A5" s="5" t="n">
        <v>0.997666</v>
      </c>
      <c r="B5" s="5" t="n">
        <v>0.001587</v>
      </c>
      <c r="C5" s="5" t="n">
        <f aca="false">$G$1</f>
        <v>207.300863086815</v>
      </c>
      <c r="D5" s="5" t="n">
        <f aca="false">(( -A5 - (-0.25) ) * SIN(RADIANS($F$1)) + (B5 - 0) * COS(RADIANS($F$1)) - 0.25 * SIN(RADIANS($F$1))) * $E$1 + ($G$1 * TAN(RADIANS($I$1)))</f>
        <v>6.422634951324</v>
      </c>
      <c r="E5" s="5" t="n">
        <f aca="false">(( -A5 - (-0.25) ) * COS(RADIANS($F$1)) - (B5 - 0) * SIN(RADIANS($F$1)) + (-0.25)) * $E$1 - ($G$1 * TAN(RADIANS($H$1))) - $J$1</f>
        <v>-1024.05628895632</v>
      </c>
    </row>
    <row r="6" customFormat="false" ht="15" hidden="false" customHeight="false" outlineLevel="0" collapsed="false">
      <c r="A6" s="5" t="n">
        <v>0.994753</v>
      </c>
      <c r="B6" s="5" t="n">
        <v>0.001994</v>
      </c>
      <c r="C6" s="5" t="n">
        <f aca="false">$G$1</f>
        <v>207.300863086815</v>
      </c>
      <c r="D6" s="5" t="n">
        <f aca="false">(( -A6 - (-0.25) ) * SIN(RADIANS($F$1)) + (B6 - 0) * COS(RADIANS($F$1)) - 0.25 * SIN(RADIANS($F$1))) * $E$1 + ($G$1 * TAN(RADIANS($I$1)))</f>
        <v>6.47646081144163</v>
      </c>
      <c r="E6" s="5" t="n">
        <f aca="false">(( -A6 - (-0.25) ) * COS(RADIANS($F$1)) - (B6 - 0) * SIN(RADIANS($F$1)) + (-0.25)) * $E$1 - ($G$1 * TAN(RADIANS($H$1))) - $J$1</f>
        <v>-1023.54016633875</v>
      </c>
    </row>
    <row r="7" customFormat="false" ht="15" hidden="false" customHeight="false" outlineLevel="0" collapsed="false">
      <c r="A7" s="5" t="n">
        <v>0.990685</v>
      </c>
      <c r="B7" s="5" t="n">
        <v>0.00256</v>
      </c>
      <c r="C7" s="5" t="n">
        <f aca="false">$G$1</f>
        <v>207.300863086815</v>
      </c>
      <c r="D7" s="5" t="n">
        <f aca="false">(( -A7 - (-0.25) ) * SIN(RADIANS($F$1)) + (B7 - 0) * COS(RADIANS($F$1)) - 0.25 * SIN(RADIANS($F$1))) * $E$1 + ($G$1 * TAN(RADIANS($I$1)))</f>
        <v>6.55120980751204</v>
      </c>
      <c r="E7" s="5" t="n">
        <f aca="false">(( -A7 - (-0.25) ) * COS(RADIANS($F$1)) - (B7 - 0) * SIN(RADIANS($F$1)) + (-0.25)) * $E$1 - ($G$1 * TAN(RADIANS($H$1))) - $J$1</f>
        <v>-1022.81941652315</v>
      </c>
    </row>
    <row r="8" customFormat="false" ht="15" hidden="false" customHeight="false" outlineLevel="0" collapsed="false">
      <c r="A8" s="5" t="n">
        <v>0.985471</v>
      </c>
      <c r="B8" s="5" t="n">
        <v>0.00328</v>
      </c>
      <c r="C8" s="5" t="n">
        <f aca="false">$G$1</f>
        <v>207.300863086815</v>
      </c>
      <c r="D8" s="5" t="n">
        <f aca="false">(( -A8 - (-0.25) ) * SIN(RADIANS($F$1)) + (B8 - 0) * COS(RADIANS($F$1)) - 0.25 * SIN(RADIANS($F$1))) * $E$1 + ($G$1 * TAN(RADIANS($I$1)))</f>
        <v>6.64605576026466</v>
      </c>
      <c r="E8" s="5" t="n">
        <f aca="false">(( -A8 - (-0.25) ) * COS(RADIANS($F$1)) - (B8 - 0) * SIN(RADIANS($F$1)) + (-0.25)) * $E$1 - ($G$1 * TAN(RADIANS($H$1))) - $J$1</f>
        <v>-1021.89565716459</v>
      </c>
    </row>
    <row r="9" customFormat="false" ht="15" hidden="false" customHeight="false" outlineLevel="0" collapsed="false">
      <c r="A9" s="5" t="n">
        <v>0.979123</v>
      </c>
      <c r="B9" s="5" t="n">
        <v>0.004152</v>
      </c>
      <c r="C9" s="5" t="n">
        <f aca="false">$G$1</f>
        <v>207.300863086815</v>
      </c>
      <c r="D9" s="5" t="n">
        <f aca="false">(( -A9 - (-0.25) ) * SIN(RADIANS($F$1)) + (B9 - 0) * COS(RADIANS($F$1)) - 0.25 * SIN(RADIANS($F$1))) * $E$1 + ($G$1 * TAN(RADIANS($I$1)))</f>
        <v>6.76071991836965</v>
      </c>
      <c r="E9" s="5" t="n">
        <f aca="false">(( -A9 - (-0.25) ) * COS(RADIANS($F$1)) - (B9 - 0) * SIN(RADIANS($F$1)) + (-0.25)) * $E$1 - ($G$1 * TAN(RADIANS($H$1))) - $J$1</f>
        <v>-1020.77101640295</v>
      </c>
    </row>
    <row r="10" customFormat="false" ht="15" hidden="false" customHeight="false" outlineLevel="0" collapsed="false">
      <c r="A10" s="5" t="n">
        <v>0.971656</v>
      </c>
      <c r="B10" s="5" t="n">
        <v>0.005169</v>
      </c>
      <c r="C10" s="5" t="n">
        <f aca="false">$G$1</f>
        <v>207.300863086815</v>
      </c>
      <c r="D10" s="5" t="n">
        <f aca="false">(( -A10 - (-0.25) ) * SIN(RADIANS($F$1)) + (B10 - 0) * COS(RADIANS($F$1)) - 0.25 * SIN(RADIANS($F$1))) * $E$1 + ($G$1 * TAN(RADIANS($I$1)))</f>
        <v>6.89406040809918</v>
      </c>
      <c r="E10" s="5" t="n">
        <f aca="false">(( -A10 - (-0.25) ) * COS(RADIANS($F$1)) - (B10 - 0) * SIN(RADIANS($F$1)) + (-0.25)) * $E$1 - ($G$1 * TAN(RADIANS($H$1))) - $J$1</f>
        <v>-1019.44818212043</v>
      </c>
    </row>
    <row r="11" customFormat="false" ht="15" hidden="false" customHeight="false" outlineLevel="0" collapsed="false">
      <c r="A11" s="5" t="n">
        <v>0.963087</v>
      </c>
      <c r="B11" s="5" t="n">
        <v>0.006324</v>
      </c>
      <c r="C11" s="5" t="n">
        <f aca="false">$G$1</f>
        <v>207.300863086815</v>
      </c>
      <c r="D11" s="5" t="n">
        <f aca="false">(( -A11 - (-0.25) ) * SIN(RADIANS($F$1)) + (B11 - 0) * COS(RADIANS($F$1)) - 0.25 * SIN(RADIANS($F$1))) * $E$1 + ($G$1 * TAN(RADIANS($I$1)))</f>
        <v>7.04494767010125</v>
      </c>
      <c r="E11" s="5" t="n">
        <f aca="false">(( -A11 - (-0.25) ) * COS(RADIANS($F$1)) - (B11 - 0) * SIN(RADIANS($F$1)) + (-0.25)) * $E$1 - ($G$1 * TAN(RADIANS($H$1))) - $J$1</f>
        <v>-1017.93019483682</v>
      </c>
    </row>
    <row r="12" customFormat="false" ht="15" hidden="false" customHeight="false" outlineLevel="0" collapsed="false">
      <c r="A12" s="5" t="n">
        <v>0.953437</v>
      </c>
      <c r="B12" s="5" t="n">
        <v>0.007611</v>
      </c>
      <c r="C12" s="5" t="n">
        <f aca="false">$G$1</f>
        <v>207.300863086815</v>
      </c>
      <c r="D12" s="5" t="n">
        <f aca="false">(( -A12 - (-0.25) ) * SIN(RADIANS($F$1)) + (B12 - 0) * COS(RADIANS($F$1)) - 0.25 * SIN(RADIANS($F$1))) * $E$1 + ($G$1 * TAN(RADIANS($I$1)))</f>
        <v>7.21245309256778</v>
      </c>
      <c r="E12" s="5" t="n">
        <f aca="false">(( -A12 - (-0.25) ) * COS(RADIANS($F$1)) - (B12 - 0) * SIN(RADIANS($F$1)) + (-0.25)) * $E$1 - ($G$1 * TAN(RADIANS($H$1))) - $J$1</f>
        <v>-1016.22079418988</v>
      </c>
    </row>
    <row r="13" customFormat="false" ht="15" hidden="false" customHeight="false" outlineLevel="0" collapsed="false">
      <c r="A13" s="5" t="n">
        <v>0.942728</v>
      </c>
      <c r="B13" s="5" t="n">
        <v>0.009022</v>
      </c>
      <c r="C13" s="5" t="n">
        <f aca="false">$G$1</f>
        <v>207.300863086815</v>
      </c>
      <c r="D13" s="5" t="n">
        <f aca="false">(( -A13 - (-0.25) ) * SIN(RADIANS($F$1)) + (B13 - 0) * COS(RADIANS($F$1)) - 0.25 * SIN(RADIANS($F$1))) * $E$1 + ($G$1 * TAN(RADIANS($I$1)))</f>
        <v>7.39530158329393</v>
      </c>
      <c r="E13" s="5" t="n">
        <f aca="false">(( -A13 - (-0.25) ) * COS(RADIANS($F$1)) - (B13 - 0) * SIN(RADIANS($F$1)) + (-0.25)) * $E$1 - ($G$1 * TAN(RADIANS($H$1))) - $J$1</f>
        <v>-1014.32390845056</v>
      </c>
    </row>
    <row r="14" customFormat="false" ht="15" hidden="false" customHeight="false" outlineLevel="0" collapsed="false">
      <c r="A14" s="5" t="n">
        <v>0.930985</v>
      </c>
      <c r="B14" s="5" t="n">
        <v>0.010549</v>
      </c>
      <c r="C14" s="5" t="n">
        <f aca="false">$G$1</f>
        <v>207.300863086815</v>
      </c>
      <c r="D14" s="5" t="n">
        <f aca="false">(( -A14 - (-0.25) ) * SIN(RADIANS($F$1)) + (B14 - 0) * COS(RADIANS($F$1)) - 0.25 * SIN(RADIANS($F$1))) * $E$1 + ($G$1 * TAN(RADIANS($I$1)))</f>
        <v>7.59223652163859</v>
      </c>
      <c r="E14" s="5" t="n">
        <f aca="false">(( -A14 - (-0.25) ) * COS(RADIANS($F$1)) - (B14 - 0) * SIN(RADIANS($F$1)) + (-0.25)) * $E$1 - ($G$1 * TAN(RADIANS($H$1))) - $J$1</f>
        <v>-1012.24399484615</v>
      </c>
    </row>
    <row r="15" customFormat="false" ht="15" hidden="false" customHeight="false" outlineLevel="0" collapsed="false">
      <c r="A15" s="5" t="n">
        <v>0.918235</v>
      </c>
      <c r="B15" s="5" t="n">
        <v>0.012182</v>
      </c>
      <c r="C15" s="5" t="n">
        <f aca="false">$G$1</f>
        <v>207.300863086815</v>
      </c>
      <c r="D15" s="5" t="n">
        <f aca="false">(( -A15 - (-0.25) ) * SIN(RADIANS($F$1)) + (B15 - 0) * COS(RADIANS($F$1)) - 0.25 * SIN(RADIANS($F$1))) * $E$1 + ($G$1 * TAN(RADIANS($I$1)))</f>
        <v>7.80166096375175</v>
      </c>
      <c r="E15" s="5" t="n">
        <f aca="false">(( -A15 - (-0.25) ) * COS(RADIANS($F$1)) - (B15 - 0) * SIN(RADIANS($F$1)) + (-0.25)) * $E$1 - ($G$1 * TAN(RADIANS($H$1))) - $J$1</f>
        <v>-1009.98587555594</v>
      </c>
    </row>
    <row r="16" customFormat="false" ht="15" hidden="false" customHeight="false" outlineLevel="0" collapsed="false">
      <c r="A16" s="5" t="n">
        <v>0.904509</v>
      </c>
      <c r="B16" s="5" t="n">
        <v>0.013914</v>
      </c>
      <c r="C16" s="5" t="n">
        <f aca="false">$G$1</f>
        <v>207.300863086815</v>
      </c>
      <c r="D16" s="5" t="n">
        <f aca="false">(( -A16 - (-0.25) ) * SIN(RADIANS($F$1)) + (B16 - 0) * COS(RADIANS($F$1)) - 0.25 * SIN(RADIANS($F$1))) * $E$1 + ($G$1 * TAN(RADIANS($I$1)))</f>
        <v>8.02253155091204</v>
      </c>
      <c r="E16" s="5" t="n">
        <f aca="false">(( -A16 - (-0.25) ) * COS(RADIANS($F$1)) - (B16 - 0) * SIN(RADIANS($F$1)) + (-0.25)) * $E$1 - ($G$1 * TAN(RADIANS($H$1))) - $J$1</f>
        <v>-1007.5550595628</v>
      </c>
    </row>
    <row r="17" customFormat="false" ht="15" hidden="false" customHeight="false" outlineLevel="0" collapsed="false">
      <c r="A17" s="5" t="n">
        <v>0.889837</v>
      </c>
      <c r="B17" s="5" t="n">
        <v>0.015735</v>
      </c>
      <c r="C17" s="5" t="n">
        <f aca="false">$G$1</f>
        <v>207.300863086815</v>
      </c>
      <c r="D17" s="5" t="n">
        <f aca="false">(( -A17 - (-0.25) ) * SIN(RADIANS($F$1)) + (B17 - 0) * COS(RADIANS($F$1)) - 0.25 * SIN(RADIANS($F$1))) * $E$1 + ($G$1 * TAN(RADIANS($I$1)))</f>
        <v>8.25326981083319</v>
      </c>
      <c r="E17" s="5" t="n">
        <f aca="false">(( -A17 - (-0.25) ) * COS(RADIANS($F$1)) - (B17 - 0) * SIN(RADIANS($F$1)) + (-0.25)) * $E$1 - ($G$1 * TAN(RADIANS($H$1))) - $J$1</f>
        <v>-1004.95689800238</v>
      </c>
    </row>
    <row r="18" customFormat="false" ht="15" hidden="false" customHeight="false" outlineLevel="0" collapsed="false">
      <c r="A18" s="5" t="n">
        <v>0.874255</v>
      </c>
      <c r="B18" s="5" t="n">
        <v>0.017635</v>
      </c>
      <c r="C18" s="5" t="n">
        <f aca="false">$G$1</f>
        <v>207.300863086815</v>
      </c>
      <c r="D18" s="5" t="n">
        <f aca="false">(( -A18 - (-0.25) ) * SIN(RADIANS($F$1)) + (B18 - 0) * COS(RADIANS($F$1)) - 0.25 * SIN(RADIANS($F$1))) * $E$1 + ($G$1 * TAN(RADIANS($I$1)))</f>
        <v>8.49233421435632</v>
      </c>
      <c r="E18" s="5" t="n">
        <f aca="false">(( -A18 - (-0.25) ) * COS(RADIANS($F$1)) - (B18 - 0) * SIN(RADIANS($F$1)) + (-0.25)) * $E$1 - ($G$1 * TAN(RADIANS($H$1))) - $J$1</f>
        <v>-1002.19779992309</v>
      </c>
    </row>
    <row r="19" customFormat="false" ht="15" hidden="false" customHeight="false" outlineLevel="0" collapsed="false">
      <c r="A19" s="5" t="n">
        <v>0.8578</v>
      </c>
      <c r="B19" s="5" t="n">
        <v>0.019605</v>
      </c>
      <c r="C19" s="5" t="n">
        <f aca="false">$G$1</f>
        <v>207.300863086815</v>
      </c>
      <c r="D19" s="5" t="n">
        <f aca="false">(( -A19 - (-0.25) ) * SIN(RADIANS($F$1)) + (B19 - 0) * COS(RADIANS($F$1)) - 0.25 * SIN(RADIANS($F$1))) * $E$1 + ($G$1 * TAN(RADIANS($I$1)))</f>
        <v>8.73836570830283</v>
      </c>
      <c r="E19" s="5" t="n">
        <f aca="false">(( -A19 - (-0.25) ) * COS(RADIANS($F$1)) - (B19 - 0) * SIN(RADIANS($F$1)) + (-0.25)) * $E$1 - ($G$1 * TAN(RADIANS($H$1))) - $J$1</f>
        <v>-999.284344534925</v>
      </c>
    </row>
    <row r="20" customFormat="false" ht="15" hidden="false" customHeight="false" outlineLevel="0" collapsed="false">
      <c r="A20" s="5" t="n">
        <v>0.840508</v>
      </c>
      <c r="B20" s="5" t="n">
        <v>0.021635</v>
      </c>
      <c r="C20" s="5" t="n">
        <f aca="false">$G$1</f>
        <v>207.300863086815</v>
      </c>
      <c r="D20" s="5" t="n">
        <f aca="false">(( -A20 - (-0.25) ) * SIN(RADIANS($F$1)) + (B20 - 0) * COS(RADIANS($F$1)) - 0.25 * SIN(RADIANS($F$1))) * $E$1 + ($G$1 * TAN(RADIANS($I$1)))</f>
        <v>8.98982276351385</v>
      </c>
      <c r="E20" s="5" t="n">
        <f aca="false">(( -A20 - (-0.25) ) * COS(RADIANS($F$1)) - (B20 - 0) * SIN(RADIANS($F$1)) + (-0.25)) * $E$1 - ($G$1 * TAN(RADIANS($H$1))) - $J$1</f>
        <v>-996.222940886297</v>
      </c>
    </row>
    <row r="21" customFormat="false" ht="15" hidden="false" customHeight="false" outlineLevel="0" collapsed="false">
      <c r="A21" s="5" t="n">
        <v>0.822421</v>
      </c>
      <c r="B21" s="5" t="n">
        <v>0.023714</v>
      </c>
      <c r="C21" s="5" t="n">
        <f aca="false">$G$1</f>
        <v>207.300863086815</v>
      </c>
      <c r="D21" s="5" t="n">
        <f aca="false">(( -A21 - (-0.25) ) * SIN(RADIANS($F$1)) + (B21 - 0) * COS(RADIANS($F$1)) - 0.25 * SIN(RADIANS($F$1))) * $E$1 + ($G$1 * TAN(RADIANS($I$1)))</f>
        <v>9.24502447516561</v>
      </c>
      <c r="E21" s="5" t="n">
        <f aca="false">(( -A21 - (-0.25) ) * COS(RADIANS($F$1)) - (B21 - 0) * SIN(RADIANS($F$1)) + (-0.25)) * $E$1 - ($G$1 * TAN(RADIANS($H$1))) - $J$1</f>
        <v>-993.02106209555</v>
      </c>
    </row>
    <row r="22" customFormat="false" ht="15" hidden="false" customHeight="false" outlineLevel="0" collapsed="false">
      <c r="A22" s="5" t="n">
        <v>0.803581</v>
      </c>
      <c r="B22" s="5" t="n">
        <v>0.025834</v>
      </c>
      <c r="C22" s="5" t="n">
        <f aca="false">$G$1</f>
        <v>207.300863086815</v>
      </c>
      <c r="D22" s="5" t="n">
        <f aca="false">(( -A22 - (-0.25) ) * SIN(RADIANS($F$1)) + (B22 - 0) * COS(RADIANS($F$1)) - 0.25 * SIN(RADIANS($F$1))) * $E$1 + ($G$1 * TAN(RADIANS($I$1)))</f>
        <v>9.50281889481135</v>
      </c>
      <c r="E22" s="5" t="n">
        <f aca="false">(( -A22 - (-0.25) ) * COS(RADIANS($F$1)) - (B22 - 0) * SIN(RADIANS($F$1)) + (-0.25)) * $E$1 - ($G$1 * TAN(RADIANS($H$1))) - $J$1</f>
        <v>-989.686162809465</v>
      </c>
    </row>
    <row r="23" customFormat="false" ht="15" hidden="false" customHeight="false" outlineLevel="0" collapsed="false">
      <c r="A23" s="5" t="n">
        <v>0.784032</v>
      </c>
      <c r="B23" s="5" t="n">
        <v>0.027983</v>
      </c>
      <c r="C23" s="5" t="n">
        <f aca="false">$G$1</f>
        <v>207.300863086815</v>
      </c>
      <c r="D23" s="5" t="n">
        <f aca="false">(( -A23 - (-0.25) ) * SIN(RADIANS($F$1)) + (B23 - 0) * COS(RADIANS($F$1)) - 0.25 * SIN(RADIANS($F$1))) * $E$1 + ($G$1 * TAN(RADIANS($I$1)))</f>
        <v>9.76136111321076</v>
      </c>
      <c r="E23" s="5" t="n">
        <f aca="false">(( -A23 - (-0.25) ) * COS(RADIANS($F$1)) - (B23 - 0) * SIN(RADIANS($F$1)) + (-0.25)) * $E$1 - ($G$1 * TAN(RADIANS($H$1))) - $J$1</f>
        <v>-986.226074941161</v>
      </c>
    </row>
    <row r="24" customFormat="false" ht="15" hidden="false" customHeight="false" outlineLevel="0" collapsed="false">
      <c r="A24" s="5" t="n">
        <v>0.76382</v>
      </c>
      <c r="B24" s="5" t="n">
        <v>0.030152</v>
      </c>
      <c r="C24" s="5" t="n">
        <f aca="false">$G$1</f>
        <v>207.300863086815</v>
      </c>
      <c r="D24" s="5" t="n">
        <f aca="false">(( -A24 - (-0.25) ) * SIN(RADIANS($F$1)) + (B24 - 0) * COS(RADIANS($F$1)) - 0.25 * SIN(RADIANS($F$1))) * $E$1 + ($G$1 * TAN(RADIANS($I$1)))</f>
        <v>10.0193474918764</v>
      </c>
      <c r="E24" s="5" t="n">
        <f aca="false">(( -A24 - (-0.25) ) * COS(RADIANS($F$1)) - (B24 - 0) * SIN(RADIANS($F$1)) + (-0.25)) * $E$1 - ($G$1 * TAN(RADIANS($H$1))) - $J$1</f>
        <v>-982.648964569775</v>
      </c>
    </row>
    <row r="25" customFormat="false" ht="15" hidden="false" customHeight="false" outlineLevel="0" collapsed="false">
      <c r="A25" s="5" t="n">
        <v>0.742992</v>
      </c>
      <c r="B25" s="5" t="n">
        <v>0.032329</v>
      </c>
      <c r="C25" s="5" t="n">
        <f aca="false">$G$1</f>
        <v>207.300863086815</v>
      </c>
      <c r="D25" s="5" t="n">
        <f aca="false">(( -A25 - (-0.25) ) * SIN(RADIANS($F$1)) + (B25 - 0) * COS(RADIANS($F$1)) - 0.25 * SIN(RADIANS($F$1))) * $E$1 + ($G$1 * TAN(RADIANS($I$1)))</f>
        <v>10.2749515931316</v>
      </c>
      <c r="E25" s="5" t="n">
        <f aca="false">(( -A25 - (-0.25) ) * COS(RADIANS($F$1)) - (B25 - 0) * SIN(RADIANS($F$1)) + (-0.25)) * $E$1 - ($G$1 * TAN(RADIANS($H$1))) - $J$1</f>
        <v>-978.963192564803</v>
      </c>
    </row>
    <row r="26" customFormat="false" ht="15" hidden="false" customHeight="false" outlineLevel="0" collapsed="false">
      <c r="A26" s="5" t="n">
        <v>0.721596</v>
      </c>
      <c r="B26" s="5" t="n">
        <v>0.034506</v>
      </c>
      <c r="C26" s="5" t="n">
        <f aca="false">$G$1</f>
        <v>207.300863086815</v>
      </c>
      <c r="D26" s="5" t="n">
        <f aca="false">(( -A26 - (-0.25) ) * SIN(RADIANS($F$1)) + (B26 - 0) * COS(RADIANS($F$1)) - 0.25 * SIN(RADIANS($F$1))) * $E$1 + ($G$1 * TAN(RADIANS($I$1)))</f>
        <v>10.5270584116571</v>
      </c>
      <c r="E26" s="5" t="n">
        <f aca="false">(( -A26 - (-0.25) ) * COS(RADIANS($F$1)) - (B26 - 0) * SIN(RADIANS($F$1)) + (-0.25)) * $E$1 - ($G$1 * TAN(RADIANS($H$1))) - $J$1</f>
        <v>-975.177271485781</v>
      </c>
    </row>
    <row r="27" customFormat="false" ht="15" hidden="false" customHeight="false" outlineLevel="0" collapsed="false">
      <c r="A27" s="5" t="n">
        <v>0.699682</v>
      </c>
      <c r="B27" s="5" t="n">
        <v>0.03667</v>
      </c>
      <c r="C27" s="5" t="n">
        <f aca="false">$G$1</f>
        <v>207.300863086815</v>
      </c>
      <c r="D27" s="5" t="n">
        <f aca="false">(( -A27 - (-0.25) ) * SIN(RADIANS($F$1)) + (B27 - 0) * COS(RADIANS($F$1)) - 0.25 * SIN(RADIANS($F$1))) * $E$1 + ($G$1 * TAN(RADIANS($I$1)))</f>
        <v>10.7736836625476</v>
      </c>
      <c r="E27" s="5" t="n">
        <f aca="false">(( -A27 - (-0.25) ) * COS(RADIANS($F$1)) - (B27 - 0) * SIN(RADIANS($F$1)) + (-0.25)) * $E$1 - ($G$1 * TAN(RADIANS($H$1))) - $J$1</f>
        <v>-971.300097315769</v>
      </c>
    </row>
    <row r="28" customFormat="false" ht="15" hidden="false" customHeight="false" outlineLevel="0" collapsed="false">
      <c r="A28" s="5" t="n">
        <v>0.677303</v>
      </c>
      <c r="B28" s="5" t="n">
        <v>0.038811</v>
      </c>
      <c r="C28" s="5" t="n">
        <f aca="false">$G$1</f>
        <v>207.300863086815</v>
      </c>
      <c r="D28" s="5" t="n">
        <f aca="false">(( -A28 - (-0.25) ) * SIN(RADIANS($F$1)) + (B28 - 0) * COS(RADIANS($F$1)) - 0.25 * SIN(RADIANS($F$1))) * $E$1 + ($G$1 * TAN(RADIANS($I$1)))</f>
        <v>11.0133904888387</v>
      </c>
      <c r="E28" s="5" t="n">
        <f aca="false">(( -A28 - (-0.25) ) * COS(RADIANS($F$1)) - (B28 - 0) * SIN(RADIANS($F$1)) + (-0.25)) * $E$1 - ($G$1 * TAN(RADIANS($H$1))) - $J$1</f>
        <v>-967.341076522639</v>
      </c>
    </row>
    <row r="29" customFormat="false" ht="15" hidden="false" customHeight="false" outlineLevel="0" collapsed="false">
      <c r="A29" s="5" t="n">
        <v>0.654509</v>
      </c>
      <c r="B29" s="5" t="n">
        <v>0.040917</v>
      </c>
      <c r="C29" s="5" t="n">
        <f aca="false">$G$1</f>
        <v>207.300863086815</v>
      </c>
      <c r="D29" s="5" t="n">
        <f aca="false">(( -A29 - (-0.25) ) * SIN(RADIANS($F$1)) + (B29 - 0) * COS(RADIANS($F$1)) - 0.25 * SIN(RADIANS($F$1))) * $E$1 + ($G$1 * TAN(RADIANS($I$1)))</f>
        <v>11.2443709244174</v>
      </c>
      <c r="E29" s="5" t="n">
        <f aca="false">(( -A29 - (-0.25) ) * COS(RADIANS($F$1)) - (B29 - 0) * SIN(RADIANS($F$1)) + (-0.25)) * $E$1 - ($G$1 * TAN(RADIANS($H$1))) - $J$1</f>
        <v>-963.309098932264</v>
      </c>
    </row>
    <row r="30" customFormat="false" ht="15" hidden="false" customHeight="false" outlineLevel="0" collapsed="false">
      <c r="A30" s="5" t="n">
        <v>0.631354</v>
      </c>
      <c r="B30" s="5" t="n">
        <v>0.042978</v>
      </c>
      <c r="C30" s="5" t="n">
        <f aca="false">$G$1</f>
        <v>207.300863086815</v>
      </c>
      <c r="D30" s="5" t="n">
        <f aca="false">(( -A30 - (-0.25) ) * SIN(RADIANS($F$1)) + (B30 - 0) * COS(RADIANS($F$1)) - 0.25 * SIN(RADIANS($F$1))) * $E$1 + ($G$1 * TAN(RADIANS($I$1)))</f>
        <v>11.4651942695073</v>
      </c>
      <c r="E30" s="5" t="n">
        <f aca="false">(( -A30 - (-0.25) ) * COS(RADIANS($F$1)) - (B30 - 0) * SIN(RADIANS($F$1)) + (-0.25)) * $E$1 - ($G$1 * TAN(RADIANS($H$1))) - $J$1</f>
        <v>-959.213747331309</v>
      </c>
    </row>
    <row r="31" customFormat="false" ht="15" hidden="false" customHeight="false" outlineLevel="0" collapsed="false">
      <c r="A31" s="5" t="n">
        <v>0.607892</v>
      </c>
      <c r="B31" s="5" t="n">
        <v>0.04498</v>
      </c>
      <c r="C31" s="5" t="n">
        <f aca="false">$G$1</f>
        <v>207.300863086815</v>
      </c>
      <c r="D31" s="5" t="n">
        <f aca="false">(( -A31 - (-0.25) ) * SIN(RADIANS($F$1)) + (B31 - 0) * COS(RADIANS($F$1)) - 0.25 * SIN(RADIANS($F$1))) * $E$1 + ($G$1 * TAN(RADIANS($I$1)))</f>
        <v>11.6737245491623</v>
      </c>
      <c r="E31" s="5" t="n">
        <f aca="false">(( -A31 - (-0.25) ) * COS(RADIANS($F$1)) - (B31 - 0) * SIN(RADIANS($F$1)) + (-0.25)) * $E$1 - ($G$1 * TAN(RADIANS($H$1))) - $J$1</f>
        <v>-955.064629135191</v>
      </c>
    </row>
    <row r="32" customFormat="false" ht="15" hidden="false" customHeight="false" outlineLevel="0" collapsed="false">
      <c r="A32" s="5" t="n">
        <v>0.584179</v>
      </c>
      <c r="B32" s="5" t="n">
        <v>0.046912</v>
      </c>
      <c r="C32" s="5" t="n">
        <f aca="false">$G$1</f>
        <v>207.300863086815</v>
      </c>
      <c r="D32" s="5" t="n">
        <f aca="false">(( -A32 - (-0.25) ) * SIN(RADIANS($F$1)) + (B32 - 0) * COS(RADIANS($F$1)) - 0.25 * SIN(RADIANS($F$1))) * $E$1 + ($G$1 * TAN(RADIANS($I$1)))</f>
        <v>11.8683670591894</v>
      </c>
      <c r="E32" s="5" t="n">
        <f aca="false">(( -A32 - (-0.25) ) * COS(RADIANS($F$1)) - (B32 - 0) * SIN(RADIANS($F$1)) + (-0.25)) * $E$1 - ($G$1 * TAN(RADIANS($H$1))) - $J$1</f>
        <v>-950.871685925348</v>
      </c>
    </row>
    <row r="33" customFormat="false" ht="15" hidden="false" customHeight="false" outlineLevel="0" collapsed="false">
      <c r="A33" s="5" t="n">
        <v>0.560268</v>
      </c>
      <c r="B33" s="5" t="n">
        <v>0.048762</v>
      </c>
      <c r="C33" s="5" t="n">
        <f aca="false">$G$1</f>
        <v>207.300863086815</v>
      </c>
      <c r="D33" s="5" t="n">
        <f aca="false">(( -A33 - (-0.25) ) * SIN(RADIANS($F$1)) + (B33 - 0) * COS(RADIANS($F$1)) - 0.25 * SIN(RADIANS($F$1))) * $E$1 + ($G$1 * TAN(RADIANS($I$1)))</f>
        <v>12.0473323050392</v>
      </c>
      <c r="E33" s="5" t="n">
        <f aca="false">(( -A33 - (-0.25) ) * COS(RADIANS($F$1)) - (B33 - 0) * SIN(RADIANS($F$1)) + (-0.25)) * $E$1 - ($G$1 * TAN(RADIANS($H$1))) - $J$1</f>
        <v>-946.64433648403</v>
      </c>
    </row>
    <row r="34" customFormat="false" ht="15" hidden="false" customHeight="false" outlineLevel="0" collapsed="false">
      <c r="A34" s="5" t="n">
        <v>0.536217</v>
      </c>
      <c r="B34" s="5" t="n">
        <v>0.050516</v>
      </c>
      <c r="C34" s="5" t="n">
        <f aca="false">$G$1</f>
        <v>207.300863086815</v>
      </c>
      <c r="D34" s="5" t="n">
        <f aca="false">(( -A34 - (-0.25) ) * SIN(RADIANS($F$1)) + (B34 - 0) * COS(RADIANS($F$1)) - 0.25 * SIN(RADIANS($F$1))) * $E$1 + ($G$1 * TAN(RADIANS($I$1)))</f>
        <v>12.2085089405177</v>
      </c>
      <c r="E34" s="5" t="n">
        <f aca="false">(( -A34 - (-0.25) ) * COS(RADIANS($F$1)) - (B34 - 0) * SIN(RADIANS($F$1)) + (-0.25)) * $E$1 - ($G$1 * TAN(RADIANS($H$1))) - $J$1</f>
        <v>-942.392893501823</v>
      </c>
    </row>
    <row r="35" customFormat="false" ht="15" hidden="false" customHeight="false" outlineLevel="0" collapsed="false">
      <c r="A35" s="5" t="n">
        <v>0.512082</v>
      </c>
      <c r="B35" s="5" t="n">
        <v>0.052162</v>
      </c>
      <c r="C35" s="5" t="n">
        <f aca="false">$G$1</f>
        <v>207.300863086815</v>
      </c>
      <c r="D35" s="5" t="n">
        <f aca="false">(( -A35 - (-0.25) ) * SIN(RADIANS($F$1)) + (B35 - 0) * COS(RADIANS($F$1)) - 0.25 * SIN(RADIANS($F$1))) * $E$1 + ($G$1 * TAN(RADIANS($I$1)))</f>
        <v>12.3501259426392</v>
      </c>
      <c r="E35" s="5" t="n">
        <f aca="false">(( -A35 - (-0.25) ) * COS(RADIANS($F$1)) - (B35 - 0) * SIN(RADIANS($F$1)) + (-0.25)) * $E$1 - ($G$1 * TAN(RADIANS($H$1))) - $J$1</f>
        <v>-938.127304717353</v>
      </c>
    </row>
    <row r="36" customFormat="false" ht="15" hidden="false" customHeight="false" outlineLevel="0" collapsed="false">
      <c r="A36" s="5" t="n">
        <v>0.487918</v>
      </c>
      <c r="B36" s="5" t="n">
        <v>0.053687</v>
      </c>
      <c r="C36" s="5" t="n">
        <f aca="false">$G$1</f>
        <v>207.300863086815</v>
      </c>
      <c r="D36" s="5" t="n">
        <f aca="false">(( -A36 - (-0.25) ) * SIN(RADIANS($F$1)) + (B36 - 0) * COS(RADIANS($F$1)) - 0.25 * SIN(RADIANS($F$1))) * $E$1 + ($G$1 * TAN(RADIANS($I$1)))</f>
        <v>12.470229812438</v>
      </c>
      <c r="E36" s="5" t="n">
        <f aca="false">(( -A36 - (-0.25) ) * COS(RADIANS($F$1)) - (B36 - 0) * SIN(RADIANS($F$1)) + (-0.25)) * $E$1 - ($G$1 * TAN(RADIANS($H$1))) - $J$1</f>
        <v>-933.857347707642</v>
      </c>
    </row>
    <row r="37" customFormat="false" ht="15" hidden="false" customHeight="false" outlineLevel="0" collapsed="false">
      <c r="A37" s="5" t="n">
        <v>0.463783</v>
      </c>
      <c r="B37" s="5" t="n">
        <v>0.055077</v>
      </c>
      <c r="C37" s="5" t="n">
        <f aca="false">$G$1</f>
        <v>207.300863086815</v>
      </c>
      <c r="D37" s="5" t="n">
        <f aca="false">(( -A37 - (-0.25) ) * SIN(RADIANS($F$1)) + (B37 - 0) * COS(RADIANS($F$1)) - 0.25 * SIN(RADIANS($F$1))) * $E$1 + ($G$1 * TAN(RADIANS($I$1)))</f>
        <v>12.5667092037199</v>
      </c>
      <c r="E37" s="5" t="n">
        <f aca="false">(( -A37 - (-0.25) ) * COS(RADIANS($F$1)) - (B37 - 0) * SIN(RADIANS($F$1)) + (-0.25)) * $E$1 - ($G$1 * TAN(RADIANS($H$1))) - $J$1</f>
        <v>-929.593335163275</v>
      </c>
    </row>
    <row r="38" customFormat="false" ht="15" hidden="false" customHeight="false" outlineLevel="0" collapsed="false">
      <c r="A38" s="5" t="n">
        <v>0.439732</v>
      </c>
      <c r="B38" s="5" t="n">
        <v>0.05632</v>
      </c>
      <c r="C38" s="5" t="n">
        <f aca="false">$G$1</f>
        <v>207.300863086815</v>
      </c>
      <c r="D38" s="5" t="n">
        <f aca="false">(( -A38 - (-0.25) ) * SIN(RADIANS($F$1)) + (B38 - 0) * COS(RADIANS($F$1)) - 0.25 * SIN(RADIANS($F$1))) * $E$1 + ($G$1 * TAN(RADIANS($I$1)))</f>
        <v>12.6377869363114</v>
      </c>
      <c r="E38" s="5" t="n">
        <f aca="false">(( -A38 - (-0.25) ) * COS(RADIANS($F$1)) - (B38 - 0) * SIN(RADIANS($F$1)) + (-0.25)) * $E$1 - ($G$1 * TAN(RADIANS($H$1))) - $J$1</f>
        <v>-925.345038504087</v>
      </c>
    </row>
    <row r="39" customFormat="false" ht="15" hidden="false" customHeight="false" outlineLevel="0" collapsed="false">
      <c r="A39" s="5" t="n">
        <v>0.415822</v>
      </c>
      <c r="B39" s="5" t="n">
        <v>0.057403</v>
      </c>
      <c r="C39" s="5" t="n">
        <f aca="false">$G$1</f>
        <v>207.300863086815</v>
      </c>
      <c r="D39" s="5" t="n">
        <f aca="false">(( -A39 - (-0.25) ) * SIN(RADIANS($F$1)) + (B39 - 0) * COS(RADIANS($F$1)) - 0.25 * SIN(RADIANS($F$1))) * $E$1 + ($G$1 * TAN(RADIANS($I$1)))</f>
        <v>12.6815218256228</v>
      </c>
      <c r="E39" s="5" t="n">
        <f aca="false">(( -A39 - (-0.25) ) * COS(RADIANS($F$1)) - (B39 - 0) * SIN(RADIANS($F$1)) + (-0.25)) * $E$1 - ($G$1 * TAN(RADIANS($H$1))) - $J$1</f>
        <v>-921.122587944684</v>
      </c>
    </row>
    <row r="40" customFormat="false" ht="15" hidden="false" customHeight="false" outlineLevel="0" collapsed="false">
      <c r="A40" s="5" t="n">
        <v>0.392108</v>
      </c>
      <c r="B40" s="5" t="n">
        <v>0.058314</v>
      </c>
      <c r="C40" s="5" t="n">
        <f aca="false">$G$1</f>
        <v>207.300863086815</v>
      </c>
      <c r="D40" s="5" t="n">
        <f aca="false">(( -A40 - (-0.25) ) * SIN(RADIANS($F$1)) + (B40 - 0) * COS(RADIANS($F$1)) - 0.25 * SIN(RADIANS($F$1))) * $E$1 + ($G$1 * TAN(RADIANS($I$1)))</f>
        <v>12.6961366914805</v>
      </c>
      <c r="E40" s="5" t="n">
        <f aca="false">(( -A40 - (-0.25) ) * COS(RADIANS($F$1)) - (B40 - 0) * SIN(RADIANS($F$1)) + (-0.25)) * $E$1 - ($G$1 * TAN(RADIANS($H$1))) - $J$1</f>
        <v>-916.9357549049</v>
      </c>
    </row>
    <row r="41" customFormat="false" ht="15" hidden="false" customHeight="false" outlineLevel="0" collapsed="false">
      <c r="A41" s="5" t="n">
        <v>0.368646</v>
      </c>
      <c r="B41" s="5" t="n">
        <v>0.059042</v>
      </c>
      <c r="C41" s="5" t="n">
        <f aca="false">$G$1</f>
        <v>207.300863086815</v>
      </c>
      <c r="D41" s="5" t="n">
        <f aca="false">(( -A41 - (-0.25) ) * SIN(RADIANS($F$1)) + (B41 - 0) * COS(RADIANS($F$1)) - 0.25 * SIN(RADIANS($F$1))) * $E$1 + ($G$1 * TAN(RADIANS($I$1)))</f>
        <v>12.6800368296915</v>
      </c>
      <c r="E41" s="5" t="n">
        <f aca="false">(( -A41 - (-0.25) ) * COS(RADIANS($F$1)) - (B41 - 0) * SIN(RADIANS($F$1)) + (-0.25)) * $E$1 - ($G$1 * TAN(RADIANS($H$1))) - $J$1</f>
        <v>-912.794480966173</v>
      </c>
    </row>
    <row r="42" customFormat="false" ht="15" hidden="false" customHeight="false" outlineLevel="0" collapsed="false">
      <c r="A42" s="5" t="n">
        <v>0.345492</v>
      </c>
      <c r="B42" s="5" t="n">
        <v>0.059575</v>
      </c>
      <c r="C42" s="5" t="n">
        <f aca="false">$G$1</f>
        <v>207.300863086815</v>
      </c>
      <c r="D42" s="5" t="n">
        <f aca="false">(( -A42 - (-0.25) ) * SIN(RADIANS($F$1)) + (B42 - 0) * COS(RADIANS($F$1)) - 0.25 * SIN(RADIANS($F$1))) * $E$1 + ($G$1 * TAN(RADIANS($I$1)))</f>
        <v>12.6314512172704</v>
      </c>
      <c r="E42" s="5" t="n">
        <f aca="false">(( -A42 - (-0.25) ) * COS(RADIANS($F$1)) - (B42 - 0) * SIN(RADIANS($F$1)) + (-0.25)) * $E$1 - ($G$1 * TAN(RADIANS($H$1))) - $J$1</f>
        <v>-908.708713867128</v>
      </c>
    </row>
    <row r="43" customFormat="false" ht="15" hidden="false" customHeight="false" outlineLevel="0" collapsed="false">
      <c r="A43" s="5" t="n">
        <v>0.322698</v>
      </c>
      <c r="B43" s="5" t="n">
        <v>0.059903</v>
      </c>
      <c r="C43" s="5" t="n">
        <f aca="false">$G$1</f>
        <v>207.300863086815</v>
      </c>
      <c r="D43" s="5" t="n">
        <f aca="false">(( -A43 - (-0.25) ) * SIN(RADIANS($F$1)) + (B43 - 0) * COS(RADIANS($F$1)) - 0.25 * SIN(RADIANS($F$1))) * $E$1 + ($G$1 * TAN(RADIANS($I$1)))</f>
        <v>12.5489368400647</v>
      </c>
      <c r="E43" s="5" t="n">
        <f aca="false">(( -A43 - (-0.25) ) * COS(RADIANS($F$1)) - (B43 - 0) * SIN(RADIANS($F$1)) + (-0.25)) * $E$1 - ($G$1 * TAN(RADIANS($H$1))) - $J$1</f>
        <v>-904.687683756847</v>
      </c>
    </row>
    <row r="44" customFormat="false" ht="15" hidden="false" customHeight="false" outlineLevel="0" collapsed="false">
      <c r="A44" s="5" t="n">
        <v>0.300318</v>
      </c>
      <c r="B44" s="5" t="n">
        <v>0.060017</v>
      </c>
      <c r="C44" s="5" t="n">
        <f aca="false">$G$1</f>
        <v>207.300863086815</v>
      </c>
      <c r="D44" s="5" t="n">
        <f aca="false">(( -A44 - (-0.25) ) * SIN(RADIANS($F$1)) + (B44 - 0) * COS(RADIANS($F$1)) - 0.25 * SIN(RADIANS($F$1))) * $E$1 + ($G$1 * TAN(RADIANS($I$1)))</f>
        <v>12.4312393170902</v>
      </c>
      <c r="E44" s="5" t="n">
        <f aca="false">(( -A44 - (-0.25) ) * COS(RADIANS($F$1)) - (B44 - 0) * SIN(RADIANS($F$1)) + (-0.25)) * $E$1 - ($G$1 * TAN(RADIANS($H$1))) - $J$1</f>
        <v>-900.740967264807</v>
      </c>
    </row>
    <row r="45" customFormat="false" ht="15" hidden="false" customHeight="false" outlineLevel="0" collapsed="false">
      <c r="A45" s="5" t="n">
        <v>0.278404</v>
      </c>
      <c r="B45" s="5" t="n">
        <v>0.05991</v>
      </c>
      <c r="C45" s="5" t="n">
        <f aca="false">$G$1</f>
        <v>207.300863086815</v>
      </c>
      <c r="D45" s="5" t="n">
        <f aca="false">(( -A45 - (-0.25) ) * SIN(RADIANS($F$1)) + (B45 - 0) * COS(RADIANS($F$1)) - 0.25 * SIN(RADIANS($F$1))) * $E$1 + ($G$1 * TAN(RADIANS($I$1)))</f>
        <v>12.2774445905715</v>
      </c>
      <c r="E45" s="5" t="n">
        <f aca="false">(( -A45 - (-0.25) ) * COS(RADIANS($F$1)) - (B45 - 0) * SIN(RADIANS($F$1)) + (-0.25)) * $E$1 - ($G$1 * TAN(RADIANS($H$1))) - $J$1</f>
        <v>-896.877776068525</v>
      </c>
    </row>
    <row r="46" customFormat="false" ht="15" hidden="false" customHeight="false" outlineLevel="0" collapsed="false">
      <c r="A46" s="5" t="n">
        <v>0.257008</v>
      </c>
      <c r="B46" s="5" t="n">
        <v>0.059576</v>
      </c>
      <c r="C46" s="5" t="n">
        <f aca="false">$G$1</f>
        <v>207.300863086815</v>
      </c>
      <c r="D46" s="5" t="n">
        <f aca="false">(( -A46 - (-0.25) ) * SIN(RADIANS($F$1)) + (B46 - 0) * COS(RADIANS($F$1)) - 0.25 * SIN(RADIANS($F$1))) * $E$1 + ($G$1 * TAN(RADIANS($I$1)))</f>
        <v>12.0868149215257</v>
      </c>
      <c r="E46" s="5" t="n">
        <f aca="false">(( -A46 - (-0.25) ) * COS(RADIANS($F$1)) - (B46 - 0) * SIN(RADIANS($F$1)) + (-0.25)) * $E$1 - ($G$1 * TAN(RADIANS($H$1))) - $J$1</f>
        <v>-893.107315688331</v>
      </c>
    </row>
    <row r="47" customFormat="false" ht="15" hidden="false" customHeight="false" outlineLevel="0" collapsed="false">
      <c r="A47" s="5" t="n">
        <v>0.23618</v>
      </c>
      <c r="B47" s="5" t="n">
        <v>0.059008</v>
      </c>
      <c r="C47" s="5" t="n">
        <f aca="false">$G$1</f>
        <v>207.300863086815</v>
      </c>
      <c r="D47" s="5" t="n">
        <f aca="false">(( -A47 - (-0.25) ) * SIN(RADIANS($F$1)) + (B47 - 0) * COS(RADIANS($F$1)) - 0.25 * SIN(RADIANS($F$1))) * $E$1 + ($G$1 * TAN(RADIANS($I$1)))</f>
        <v>11.8584239378015</v>
      </c>
      <c r="E47" s="5" t="n">
        <f aca="false">(( -A47 - (-0.25) ) * COS(RADIANS($F$1)) - (B47 - 0) * SIN(RADIANS($F$1)) + (-0.25)) * $E$1 - ($G$1 * TAN(RADIANS($H$1))) - $J$1</f>
        <v>-889.438445164157</v>
      </c>
    </row>
    <row r="48" customFormat="false" ht="15" hidden="false" customHeight="false" outlineLevel="0" collapsed="false">
      <c r="A48" s="5" t="n">
        <v>0.215968</v>
      </c>
      <c r="B48" s="5" t="n">
        <v>0.058205</v>
      </c>
      <c r="C48" s="5" t="n">
        <f aca="false">$G$1</f>
        <v>207.300863086815</v>
      </c>
      <c r="D48" s="5" t="n">
        <f aca="false">(( -A48 - (-0.25) ) * SIN(RADIANS($F$1)) + (B48 - 0) * COS(RADIANS($F$1)) - 0.25 * SIN(RADIANS($F$1))) * $E$1 + ($G$1 * TAN(RADIANS($I$1)))</f>
        <v>11.5923908656261</v>
      </c>
      <c r="E48" s="5" t="n">
        <f aca="false">(( -A48 - (-0.25) ) * COS(RADIANS($F$1)) - (B48 - 0) * SIN(RADIANS($F$1)) + (-0.25)) * $E$1 - ($G$1 * TAN(RADIANS($H$1))) - $J$1</f>
        <v>-885.879633955224</v>
      </c>
    </row>
    <row r="49" customFormat="false" ht="15" hidden="false" customHeight="false" outlineLevel="0" collapsed="false">
      <c r="A49" s="5" t="n">
        <v>0.196419</v>
      </c>
      <c r="B49" s="5" t="n">
        <v>0.057164</v>
      </c>
      <c r="C49" s="5" t="n">
        <f aca="false">$G$1</f>
        <v>207.300863086815</v>
      </c>
      <c r="D49" s="5" t="n">
        <f aca="false">(( -A49 - (-0.25) ) * SIN(RADIANS($F$1)) + (B49 - 0) * COS(RADIANS($F$1)) - 0.25 * SIN(RADIANS($F$1))) * $E$1 + ($G$1 * TAN(RADIANS($I$1)))</f>
        <v>11.2884761364538</v>
      </c>
      <c r="E49" s="5" t="n">
        <f aca="false">(( -A49 - (-0.25) ) * COS(RADIANS($F$1)) - (B49 - 0) * SIN(RADIANS($F$1)) + (-0.25)) * $E$1 - ($G$1 * TAN(RADIANS($H$1))) - $J$1</f>
        <v>-882.439187516334</v>
      </c>
    </row>
    <row r="50" customFormat="false" ht="15" hidden="false" customHeight="false" outlineLevel="0" collapsed="false">
      <c r="A50" s="5" t="n">
        <v>0.177579</v>
      </c>
      <c r="B50" s="5" t="n">
        <v>0.055886</v>
      </c>
      <c r="C50" s="5" t="n">
        <f aca="false">$G$1</f>
        <v>207.300863086815</v>
      </c>
      <c r="D50" s="5" t="n">
        <f aca="false">(( -A50 - (-0.25) ) * SIN(RADIANS($F$1)) + (B50 - 0) * COS(RADIANS($F$1)) - 0.25 * SIN(RADIANS($F$1))) * $E$1 + ($G$1 * TAN(RADIANS($I$1)))</f>
        <v>10.9471392997207</v>
      </c>
      <c r="E50" s="5" t="n">
        <f aca="false">(( -A50 - (-0.25) ) * COS(RADIANS($F$1)) - (B50 - 0) * SIN(RADIANS($F$1)) + (-0.25)) * $E$1 - ($G$1 * TAN(RADIANS($H$1))) - $J$1</f>
        <v>-879.125210354749</v>
      </c>
    </row>
    <row r="51" customFormat="false" ht="15" hidden="false" customHeight="false" outlineLevel="0" collapsed="false">
      <c r="A51" s="5" t="n">
        <v>0.159492</v>
      </c>
      <c r="B51" s="5" t="n">
        <v>0.054372</v>
      </c>
      <c r="C51" s="5" t="n">
        <f aca="false">$G$1</f>
        <v>207.300863086815</v>
      </c>
      <c r="D51" s="5" t="n">
        <f aca="false">(( -A51 - (-0.25) ) * SIN(RADIANS($F$1)) + (B51 - 0) * COS(RADIANS($F$1)) - 0.25 * SIN(RADIANS($F$1))) * $E$1 + ($G$1 * TAN(RADIANS($I$1)))</f>
        <v>10.5688275904869</v>
      </c>
      <c r="E51" s="5" t="n">
        <f aca="false">(( -A51 - (-0.25) ) * COS(RADIANS($F$1)) - (B51 - 0) * SIN(RADIANS($F$1)) + (-0.25)) * $E$1 - ($G$1 * TAN(RADIANS($H$1))) - $J$1</f>
        <v>-875.945454340142</v>
      </c>
    </row>
    <row r="52" customFormat="false" ht="15" hidden="false" customHeight="false" outlineLevel="0" collapsed="false">
      <c r="A52" s="5" t="n">
        <v>0.142201</v>
      </c>
      <c r="B52" s="5" t="n">
        <v>0.052625</v>
      </c>
      <c r="C52" s="5" t="n">
        <f aca="false">$G$1</f>
        <v>207.300863086815</v>
      </c>
      <c r="D52" s="5" t="n">
        <f aca="false">(( -A52 - (-0.25) ) * SIN(RADIANS($F$1)) + (B52 - 0) * COS(RADIANS($F$1)) - 0.25 * SIN(RADIANS($F$1))) * $E$1 + ($G$1 * TAN(RADIANS($I$1)))</f>
        <v>10.1543347242093</v>
      </c>
      <c r="E52" s="5" t="n">
        <f aca="false">(( -A52 - (-0.25) ) * COS(RADIANS($F$1)) - (B52 - 0) * SIN(RADIANS($F$1)) + (-0.25)) * $E$1 - ($G$1 * TAN(RADIANS($H$1))) - $J$1</f>
        <v>-872.907482709022</v>
      </c>
    </row>
    <row r="53" customFormat="false" ht="15" hidden="false" customHeight="false" outlineLevel="0" collapsed="false">
      <c r="A53" s="5" t="n">
        <v>0.125745</v>
      </c>
      <c r="B53" s="5" t="n">
        <v>0.050651</v>
      </c>
      <c r="C53" s="5" t="n">
        <f aca="false">$G$1</f>
        <v>207.300863086815</v>
      </c>
      <c r="D53" s="5" t="n">
        <f aca="false">(( -A53 - (-0.25) ) * SIN(RADIANS($F$1)) + (B53 - 0) * COS(RADIANS($F$1)) - 0.25 * SIN(RADIANS($F$1))) * $E$1 + ($G$1 * TAN(RADIANS($I$1)))</f>
        <v>9.70495874397016</v>
      </c>
      <c r="E53" s="5" t="n">
        <f aca="false">(( -A53 - (-0.25) ) * COS(RADIANS($F$1)) - (B53 - 0) * SIN(RADIANS($F$1)) + (-0.25)) * $E$1 - ($G$1 * TAN(RADIANS($H$1))) - $J$1</f>
        <v>-870.018134951162</v>
      </c>
    </row>
    <row r="54" customFormat="false" ht="15" hidden="false" customHeight="false" outlineLevel="0" collapsed="false">
      <c r="A54" s="5" t="n">
        <v>0.110163</v>
      </c>
      <c r="B54" s="5" t="n">
        <v>0.048457</v>
      </c>
      <c r="C54" s="5" t="n">
        <f aca="false">$G$1</f>
        <v>207.300863086815</v>
      </c>
      <c r="D54" s="5" t="n">
        <f aca="false">(( -A54 - (-0.25) ) * SIN(RADIANS($F$1)) + (B54 - 0) * COS(RADIANS($F$1)) - 0.25 * SIN(RADIANS($F$1))) * $E$1 + ($G$1 * TAN(RADIANS($I$1)))</f>
        <v>9.22217401164426</v>
      </c>
      <c r="E54" s="5" t="n">
        <f aca="false">(( -A54 - (-0.25) ) * COS(RADIANS($F$1)) - (B54 - 0) * SIN(RADIANS($F$1)) + (-0.25)) * $E$1 - ($G$1 * TAN(RADIANS($H$1))) - $J$1</f>
        <v>-867.284244399148</v>
      </c>
    </row>
    <row r="55" customFormat="false" ht="15" hidden="false" customHeight="false" outlineLevel="0" collapsed="false">
      <c r="A55" s="5" t="n">
        <v>0.095492</v>
      </c>
      <c r="B55" s="5" t="n">
        <v>0.046049</v>
      </c>
      <c r="C55" s="5" t="n">
        <f aca="false">$G$1</f>
        <v>207.300863086815</v>
      </c>
      <c r="D55" s="5" t="n">
        <f aca="false">(( -A55 - (-0.25) ) * SIN(RADIANS($F$1)) + (B55 - 0) * COS(RADIANS($F$1)) - 0.25 * SIN(RADIANS($F$1))) * $E$1 + ($G$1 * TAN(RADIANS($I$1)))</f>
        <v>8.70726625593808</v>
      </c>
      <c r="E55" s="5" t="n">
        <f aca="false">(( -A55 - (-0.25) ) * COS(RADIANS($F$1)) - (B55 - 0) * SIN(RADIANS($F$1)) + (-0.25)) * $E$1 - ($G$1 * TAN(RADIANS($H$1))) - $J$1</f>
        <v>-864.712297905169</v>
      </c>
    </row>
    <row r="56" customFormat="false" ht="15" hidden="false" customHeight="false" outlineLevel="0" collapsed="false">
      <c r="A56" s="5" t="n">
        <v>0.081765</v>
      </c>
      <c r="B56" s="5" t="n">
        <v>0.043437</v>
      </c>
      <c r="C56" s="5" t="n">
        <f aca="false">$G$1</f>
        <v>207.300863086815</v>
      </c>
      <c r="D56" s="5" t="n">
        <f aca="false">(( -A56 - (-0.25) ) * SIN(RADIANS($F$1)) + (B56 - 0) * COS(RADIANS($F$1)) - 0.25 * SIN(RADIANS($F$1))) * $E$1 + ($G$1 * TAN(RADIANS($I$1)))</f>
        <v>8.16220185197588</v>
      </c>
      <c r="E56" s="5" t="n">
        <f aca="false">(( -A56 - (-0.25) ) * COS(RADIANS($F$1)) - (B56 - 0) * SIN(RADIANS($F$1)) + (-0.25)) * $E$1 - ($G$1 * TAN(RADIANS($H$1))) - $J$1</f>
        <v>-862.308052417494</v>
      </c>
    </row>
    <row r="57" customFormat="false" ht="15" hidden="false" customHeight="false" outlineLevel="0" collapsed="false">
      <c r="A57" s="5" t="n">
        <v>0.069015</v>
      </c>
      <c r="B57" s="5" t="n">
        <v>0.040631</v>
      </c>
      <c r="C57" s="5" t="n">
        <f aca="false">$G$1</f>
        <v>207.300863086815</v>
      </c>
      <c r="D57" s="5" t="n">
        <f aca="false">(( -A57 - (-0.25) ) * SIN(RADIANS($F$1)) + (B57 - 0) * COS(RADIANS($F$1)) - 0.25 * SIN(RADIANS($F$1))) * $E$1 + ($G$1 * TAN(RADIANS($I$1)))</f>
        <v>7.58894717488194</v>
      </c>
      <c r="E57" s="5" t="n">
        <f aca="false">(( -A57 - (-0.25) ) * COS(RADIANS($F$1)) - (B57 - 0) * SIN(RADIANS($F$1)) + (-0.25)) * $E$1 - ($G$1 * TAN(RADIANS($H$1))) - $J$1</f>
        <v>-860.077264884391</v>
      </c>
    </row>
    <row r="58" customFormat="false" ht="15" hidden="false" customHeight="false" outlineLevel="0" collapsed="false">
      <c r="A58" s="5" t="n">
        <v>0.057272</v>
      </c>
      <c r="B58" s="5" t="n">
        <v>0.037641</v>
      </c>
      <c r="C58" s="5" t="n">
        <f aca="false">$G$1</f>
        <v>207.300863086815</v>
      </c>
      <c r="D58" s="5" t="n">
        <f aca="false">(( -A58 - (-0.25) ) * SIN(RADIANS($F$1)) + (B58 - 0) * COS(RADIANS($F$1)) - 0.25 * SIN(RADIANS($F$1))) * $E$1 + ($G$1 * TAN(RADIANS($I$1)))</f>
        <v>6.9894501282168</v>
      </c>
      <c r="E58" s="5" t="n">
        <f aca="false">(( -A58 - (-0.25) ) * COS(RADIANS($F$1)) - (B58 - 0) * SIN(RADIANS($F$1)) + (-0.25)) * $E$1 - ($G$1 * TAN(RADIANS($H$1))) - $J$1</f>
        <v>-858.02516329775</v>
      </c>
    </row>
    <row r="59" customFormat="false" ht="15" hidden="false" customHeight="false" outlineLevel="0" collapsed="false">
      <c r="A59" s="5" t="n">
        <v>0.046563</v>
      </c>
      <c r="B59" s="5" t="n">
        <v>0.034479</v>
      </c>
      <c r="C59" s="5" t="n">
        <f aca="false">$G$1</f>
        <v>207.300863086815</v>
      </c>
      <c r="D59" s="5" t="n">
        <f aca="false">(( -A59 - (-0.25) ) * SIN(RADIANS($F$1)) + (B59 - 0) * COS(RADIANS($F$1)) - 0.25 * SIN(RADIANS($F$1))) * $E$1 + ($G$1 * TAN(RADIANS($I$1)))</f>
        <v>6.365992781562</v>
      </c>
      <c r="E59" s="5" t="n">
        <f aca="false">(( -A59 - (-0.25) ) * COS(RADIANS($F$1)) - (B59 - 0) * SIN(RADIANS($F$1)) + (-0.25)) * $E$1 - ($G$1 * TAN(RADIANS($H$1))) - $J$1</f>
        <v>-856.156434378711</v>
      </c>
    </row>
    <row r="60" customFormat="false" ht="15" hidden="false" customHeight="false" outlineLevel="0" collapsed="false">
      <c r="A60" s="5" t="n">
        <v>0.036913</v>
      </c>
      <c r="B60" s="5" t="n">
        <v>0.031156</v>
      </c>
      <c r="C60" s="5" t="n">
        <f aca="false">$G$1</f>
        <v>207.300863086815</v>
      </c>
      <c r="D60" s="5" t="n">
        <f aca="false">(( -A60 - (-0.25) ) * SIN(RADIANS($F$1)) + (B60 - 0) * COS(RADIANS($F$1)) - 0.25 * SIN(RADIANS($F$1))) * $E$1 + ($G$1 * TAN(RADIANS($I$1)))</f>
        <v>5.72066857133091</v>
      </c>
      <c r="E60" s="5" t="n">
        <f aca="false">(( -A60 - (-0.25) ) * COS(RADIANS($F$1)) - (B60 - 0) * SIN(RADIANS($F$1)) + (-0.25)) * $E$1 - ($G$1 * TAN(RADIANS($H$1))) - $J$1</f>
        <v>-854.475418368015</v>
      </c>
    </row>
    <row r="61" customFormat="false" ht="15" hidden="false" customHeight="false" outlineLevel="0" collapsed="false">
      <c r="A61" s="5" t="n">
        <v>0.028344</v>
      </c>
      <c r="B61" s="5" t="n">
        <v>0.027683</v>
      </c>
      <c r="C61" s="5" t="n">
        <f aca="false">$G$1</f>
        <v>207.300863086815</v>
      </c>
      <c r="D61" s="5" t="n">
        <f aca="false">(( -A61 - (-0.25) ) * SIN(RADIANS($F$1)) + (B61 - 0) * COS(RADIANS($F$1)) - 0.25 * SIN(RADIANS($F$1))) * $E$1 + ($G$1 * TAN(RADIANS($I$1)))</f>
        <v>5.0555524623732</v>
      </c>
      <c r="E61" s="5" t="n">
        <f aca="false">(( -A61 - (-0.25) ) * COS(RADIANS($F$1)) - (B61 - 0) * SIN(RADIANS($F$1)) + (-0.25)) * $E$1 - ($G$1 * TAN(RADIANS($H$1))) - $J$1</f>
        <v>-852.985926550027</v>
      </c>
    </row>
    <row r="62" customFormat="false" ht="15" hidden="false" customHeight="false" outlineLevel="0" collapsed="false">
      <c r="A62" s="5" t="n">
        <v>0.020877</v>
      </c>
      <c r="B62" s="5" t="n">
        <v>0.024071</v>
      </c>
      <c r="C62" s="5" t="n">
        <f aca="false">$G$1</f>
        <v>207.300863086815</v>
      </c>
      <c r="D62" s="5" t="n">
        <f aca="false">(( -A62 - (-0.25) ) * SIN(RADIANS($F$1)) + (B62 - 0) * COS(RADIANS($F$1)) - 0.25 * SIN(RADIANS($F$1))) * $E$1 + ($G$1 * TAN(RADIANS($I$1)))</f>
        <v>4.37271326235061</v>
      </c>
      <c r="E62" s="5" t="n">
        <f aca="false">(( -A62 - (-0.25) ) * COS(RADIANS($F$1)) - (B62 - 0) * SIN(RADIANS($F$1)) + (-0.25)) * $E$1 - ($G$1 * TAN(RADIANS($H$1))) - $J$1</f>
        <v>-851.691593890319</v>
      </c>
    </row>
    <row r="63" customFormat="false" ht="15" hidden="false" customHeight="false" outlineLevel="0" collapsed="false">
      <c r="A63" s="5" t="n">
        <v>0.014529</v>
      </c>
      <c r="B63" s="5" t="n">
        <v>0.02033</v>
      </c>
      <c r="C63" s="5" t="n">
        <f aca="false">$G$1</f>
        <v>207.300863086815</v>
      </c>
      <c r="D63" s="5" t="n">
        <f aca="false">(( -A63 - (-0.25) ) * SIN(RADIANS($F$1)) + (B63 - 0) * COS(RADIANS($F$1)) - 0.25 * SIN(RADIANS($F$1))) * $E$1 + ($G$1 * TAN(RADIANS($I$1)))</f>
        <v>3.67401883138096</v>
      </c>
      <c r="E63" s="5" t="n">
        <f aca="false">(( -A63 - (-0.25) ) * COS(RADIANS($F$1)) - (B63 - 0) * SIN(RADIANS($F$1)) + (-0.25)) * $E$1 - ($G$1 * TAN(RADIANS($H$1))) - $J$1</f>
        <v>-850.595356236481</v>
      </c>
    </row>
    <row r="64" customFormat="false" ht="15" hidden="false" customHeight="false" outlineLevel="0" collapsed="false">
      <c r="A64" s="5" t="n">
        <v>0.009315</v>
      </c>
      <c r="B64" s="5" t="n">
        <v>0.016471</v>
      </c>
      <c r="C64" s="5" t="n">
        <f aca="false">$G$1</f>
        <v>207.300863086815</v>
      </c>
      <c r="D64" s="5" t="n">
        <f aca="false">(( -A64 - (-0.25) ) * SIN(RADIANS($F$1)) + (B64 - 0) * COS(RADIANS($F$1)) - 0.25 * SIN(RADIANS($F$1))) * $E$1 + ($G$1 * TAN(RADIANS($I$1)))</f>
        <v>2.96150103399856</v>
      </c>
      <c r="E64" s="5" t="n">
        <f aca="false">(( -A64 - (-0.25) ) * COS(RADIANS($F$1)) - (B64 - 0) * SIN(RADIANS($F$1)) + (-0.25)) * $E$1 - ($G$1 * TAN(RADIANS($H$1))) - $J$1</f>
        <v>-849.699790641332</v>
      </c>
    </row>
    <row r="65" customFormat="false" ht="15" hidden="false" customHeight="false" outlineLevel="0" collapsed="false">
      <c r="A65" s="5" t="n">
        <v>0.005247</v>
      </c>
      <c r="B65" s="5" t="n">
        <v>0.012501</v>
      </c>
      <c r="C65" s="5" t="n">
        <f aca="false">$G$1</f>
        <v>207.300863086815</v>
      </c>
      <c r="D65" s="5" t="n">
        <f aca="false">(( -A65 - (-0.25) ) * SIN(RADIANS($F$1)) + (B65 - 0) * COS(RADIANS($F$1)) - 0.25 * SIN(RADIANS($F$1))) * $E$1 + ($G$1 * TAN(RADIANS($I$1)))</f>
        <v>2.23646798800468</v>
      </c>
      <c r="E65" s="5" t="n">
        <f aca="false">(( -A65 - (-0.25) ) * COS(RADIANS($F$1)) - (B65 - 0) * SIN(RADIANS($F$1)) + (-0.25)) * $E$1 - ($G$1 * TAN(RADIANS($H$1))) - $J$1</f>
        <v>-849.006969830064</v>
      </c>
    </row>
    <row r="66" customFormat="false" ht="15" hidden="false" customHeight="false" outlineLevel="0" collapsed="false">
      <c r="A66" s="5" t="n">
        <v>0.002334</v>
      </c>
      <c r="B66" s="5" t="n">
        <v>0.008429</v>
      </c>
      <c r="C66" s="5" t="n">
        <f aca="false">$G$1</f>
        <v>207.300863086815</v>
      </c>
      <c r="D66" s="5" t="n">
        <f aca="false">(( -A66 - (-0.25) ) * SIN(RADIANS($F$1)) + (B66 - 0) * COS(RADIANS($F$1)) - 0.25 * SIN(RADIANS($F$1))) * $E$1 + ($G$1 * TAN(RADIANS($I$1)))</f>
        <v>1.50056197722152</v>
      </c>
      <c r="E66" s="5" t="n">
        <f aca="false">(( -A66 - (-0.25) ) * COS(RADIANS($F$1)) - (B66 - 0) * SIN(RADIANS($F$1)) + (-0.25)) * $E$1 - ($G$1 * TAN(RADIANS($H$1))) - $J$1</f>
        <v>-848.518425257118</v>
      </c>
    </row>
    <row r="67" customFormat="false" ht="15" hidden="false" customHeight="false" outlineLevel="0" collapsed="false">
      <c r="A67" s="5" t="n">
        <v>0.000584</v>
      </c>
      <c r="B67" s="5" t="n">
        <v>0.00426</v>
      </c>
      <c r="C67" s="5" t="n">
        <f aca="false">$G$1</f>
        <v>207.300863086815</v>
      </c>
      <c r="D67" s="5" t="n">
        <f aca="false">(( -A67 - (-0.25) ) * SIN(RADIANS($F$1)) + (B67 - 0) * COS(RADIANS($F$1)) - 0.25 * SIN(RADIANS($F$1))) * $E$1 + ($G$1 * TAN(RADIANS($I$1)))</f>
        <v>0.754713853114039</v>
      </c>
      <c r="E67" s="5" t="n">
        <f aca="false">(( -A67 - (-0.25) ) * COS(RADIANS($F$1)) - (B67 - 0) * SIN(RADIANS($F$1)) + (-0.25)) * $E$1 - ($G$1 * TAN(RADIANS($H$1))) - $J$1</f>
        <v>-848.235536686893</v>
      </c>
    </row>
    <row r="68" customFormat="false" ht="15" hidden="false" customHeight="false" outlineLevel="0" collapsed="false">
      <c r="A68" s="5" t="n">
        <v>0</v>
      </c>
      <c r="B68" s="5" t="n">
        <v>0</v>
      </c>
      <c r="C68" s="5" t="n">
        <f aca="false">$G$1</f>
        <v>207.300863086815</v>
      </c>
      <c r="D68" s="5" t="n">
        <f aca="false">(( -A68 - (-0.25) ) * SIN(RADIANS($F$1)) + (B68 - 0) * COS(RADIANS($F$1)) - 0.25 * SIN(RADIANS($F$1))) * $E$1 + ($G$1 * TAN(RADIANS($I$1)))</f>
        <v>0</v>
      </c>
      <c r="E68" s="5" t="n">
        <f aca="false">(( -A68 - (-0.25) ) * COS(RADIANS($F$1)) - (B68 - 0) * SIN(RADIANS($F$1)) + (-0.25)) * $E$1 - ($G$1 * TAN(RADIANS($H$1))) - $J$1</f>
        <v>-848.158796132638</v>
      </c>
    </row>
    <row r="69" customFormat="false" ht="15" hidden="false" customHeight="false" outlineLevel="0" collapsed="false">
      <c r="A69" s="5" t="n">
        <v>0.000584</v>
      </c>
      <c r="B69" s="5" t="n">
        <v>-0.00426</v>
      </c>
      <c r="C69" s="5" t="n">
        <f aca="false">$G$1</f>
        <v>207.300863086815</v>
      </c>
      <c r="D69" s="5" t="n">
        <f aca="false">(( -A69 - (-0.25) ) * SIN(RADIANS($F$1)) + (B69 - 0) * COS(RADIANS($F$1)) - 0.25 * SIN(RADIANS($F$1))) * $E$1 + ($G$1 * TAN(RADIANS($I$1)))</f>
        <v>-0.747522257641646</v>
      </c>
      <c r="E69" s="5" t="n">
        <f aca="false">(( -A69 - (-0.25) ) * COS(RADIANS($F$1)) - (B69 - 0) * SIN(RADIANS($F$1)) + (-0.25)) * $E$1 - ($G$1 * TAN(RADIANS($H$1))) - $J$1</f>
        <v>-848.287995927839</v>
      </c>
    </row>
    <row r="70" customFormat="false" ht="15" hidden="false" customHeight="false" outlineLevel="0" collapsed="false">
      <c r="A70" s="5" t="n">
        <v>0.002334</v>
      </c>
      <c r="B70" s="5" t="n">
        <v>-0.008429</v>
      </c>
      <c r="C70" s="5" t="n">
        <f aca="false">$G$1</f>
        <v>207.300863086815</v>
      </c>
      <c r="D70" s="5" t="n">
        <f aca="false">(( -A70 - (-0.25) ) * SIN(RADIANS($F$1)) + (B70 - 0) * COS(RADIANS($F$1)) - 0.25 * SIN(RADIANS($F$1))) * $E$1 + ($G$1 * TAN(RADIANS($I$1)))</f>
        <v>-1.47182022408357</v>
      </c>
      <c r="E70" s="5" t="n">
        <f aca="false">(( -A70 - (-0.25) ) * COS(RADIANS($F$1)) - (B70 - 0) * SIN(RADIANS($F$1)) + (-0.25)) * $E$1 - ($G$1 * TAN(RADIANS($H$1))) - $J$1</f>
        <v>-848.622223130811</v>
      </c>
    </row>
    <row r="71" customFormat="false" ht="15" hidden="false" customHeight="false" outlineLevel="0" collapsed="false">
      <c r="A71" s="5" t="n">
        <v>0.005247</v>
      </c>
      <c r="B71" s="5" t="n">
        <v>-0.012501</v>
      </c>
      <c r="C71" s="5" t="n">
        <f aca="false">$G$1</f>
        <v>207.300863086815</v>
      </c>
      <c r="D71" s="5" t="n">
        <f aca="false">(( -A71 - (-0.25) ) * SIN(RADIANS($F$1)) + (B71 - 0) * COS(RADIANS($F$1)) - 0.25 * SIN(RADIANS($F$1))) * $E$1 + ($G$1 * TAN(RADIANS($I$1)))</f>
        <v>-2.17185445813542</v>
      </c>
      <c r="E71" s="5" t="n">
        <f aca="false">(( -A71 - (-0.25) ) * COS(RADIANS($F$1)) - (B71 - 0) * SIN(RADIANS($F$1)) + (-0.25)) * $E$1 - ($G$1 * TAN(RADIANS($H$1))) - $J$1</f>
        <v>-849.160911842051</v>
      </c>
    </row>
    <row r="72" customFormat="false" ht="15" hidden="false" customHeight="false" outlineLevel="0" collapsed="false">
      <c r="A72" s="5" t="n">
        <v>0.009315</v>
      </c>
      <c r="B72" s="5" t="n">
        <v>-0.016471</v>
      </c>
      <c r="C72" s="5" t="n">
        <f aca="false">$G$1</f>
        <v>207.300863086815</v>
      </c>
      <c r="D72" s="5" t="n">
        <f aca="false">(( -A72 - (-0.25) ) * SIN(RADIANS($F$1)) + (B72 - 0) * COS(RADIANS($F$1)) - 0.25 * SIN(RADIANS($F$1))) * $E$1 + ($G$1 * TAN(RADIANS($I$1)))</f>
        <v>-2.84679262333874</v>
      </c>
      <c r="E72" s="5" t="n">
        <f aca="false">(( -A72 - (-0.25) ) * COS(RADIANS($F$1)) - (B72 - 0) * SIN(RADIANS($F$1)) + (-0.25)) * $E$1 - ($G$1 * TAN(RADIANS($H$1))) - $J$1</f>
        <v>-849.90262072528</v>
      </c>
    </row>
    <row r="73" customFormat="false" ht="15" hidden="false" customHeight="false" outlineLevel="0" collapsed="false">
      <c r="A73" s="5" t="n">
        <v>0.014529</v>
      </c>
      <c r="B73" s="5" t="n">
        <v>-0.02033</v>
      </c>
      <c r="C73" s="5" t="n">
        <f aca="false">$G$1</f>
        <v>207.300863086815</v>
      </c>
      <c r="D73" s="5" t="n">
        <f aca="false">(( -A73 - (-0.25) ) * SIN(RADIANS($F$1)) + (B73 - 0) * COS(RADIANS($F$1)) - 0.25 * SIN(RADIANS($F$1))) * $E$1 + ($G$1 * TAN(RADIANS($I$1)))</f>
        <v>-3.49510326525357</v>
      </c>
      <c r="E73" s="5" t="n">
        <f aca="false">(( -A73 - (-0.25) ) * COS(RADIANS($F$1)) - (B73 - 0) * SIN(RADIANS($F$1)) + (-0.25)) * $E$1 - ($G$1 * TAN(RADIANS($H$1))) - $J$1</f>
        <v>-850.845707496676</v>
      </c>
    </row>
    <row r="74" customFormat="false" ht="15" hidden="false" customHeight="false" outlineLevel="0" collapsed="false">
      <c r="A74" s="5" t="n">
        <v>0.020877</v>
      </c>
      <c r="B74" s="5" t="n">
        <v>-0.024071</v>
      </c>
      <c r="C74" s="5" t="n">
        <f aca="false">$G$1</f>
        <v>207.300863086815</v>
      </c>
      <c r="D74" s="5" t="n">
        <f aca="false">(( -A74 - (-0.25) ) * SIN(RADIANS($F$1)) + (B74 - 0) * COS(RADIANS($F$1)) - 0.25 * SIN(RADIANS($F$1))) * $E$1 + ($G$1 * TAN(RADIANS($I$1)))</f>
        <v>-4.11562603858838</v>
      </c>
      <c r="E74" s="5" t="n">
        <f aca="false">(( -A74 - (-0.25) ) * COS(RADIANS($F$1)) - (B74 - 0) * SIN(RADIANS($F$1)) + (-0.25)) * $E$1 - ($G$1 * TAN(RADIANS($H$1))) - $J$1</f>
        <v>-851.988013230415</v>
      </c>
    </row>
    <row r="75" customFormat="false" ht="15" hidden="false" customHeight="false" outlineLevel="0" collapsed="false">
      <c r="A75" s="5" t="n">
        <v>0.028344</v>
      </c>
      <c r="B75" s="5" t="n">
        <v>-0.027683</v>
      </c>
      <c r="C75" s="5" t="n">
        <f aca="false">$G$1</f>
        <v>207.300863086815</v>
      </c>
      <c r="D75" s="5" t="n">
        <f aca="false">(( -A75 - (-0.25) ) * SIN(RADIANS($F$1)) + (B75 - 0) * COS(RADIANS($F$1)) - 0.25 * SIN(RADIANS($F$1))) * $E$1 + ($G$1 * TAN(RADIANS($I$1)))</f>
        <v>-4.70651379444597</v>
      </c>
      <c r="E75" s="5" t="n">
        <f aca="false">(( -A75 - (-0.25) ) * COS(RADIANS($F$1)) - (B75 - 0) * SIN(RADIANS($F$1)) + (-0.25)) * $E$1 - ($G$1 * TAN(RADIANS($H$1))) - $J$1</f>
        <v>-853.326825415545</v>
      </c>
    </row>
    <row r="76" customFormat="false" ht="15" hidden="false" customHeight="false" outlineLevel="0" collapsed="false">
      <c r="A76" s="5" t="n">
        <v>0.036913</v>
      </c>
      <c r="B76" s="5" t="n">
        <v>-0.031156</v>
      </c>
      <c r="C76" s="5" t="n">
        <f aca="false">$G$1</f>
        <v>207.300863086815</v>
      </c>
      <c r="D76" s="5" t="n">
        <f aca="false">(( -A76 - (-0.25) ) * SIN(RADIANS($F$1)) + (B76 - 0) * COS(RADIANS($F$1)) - 0.25 * SIN(RADIANS($F$1))) * $E$1 + ($G$1 * TAN(RADIANS($I$1)))</f>
        <v>-5.26610801709729</v>
      </c>
      <c r="E76" s="5" t="n">
        <f aca="false">(( -A76 - (-0.25) ) * COS(RADIANS($F$1)) - (B76 - 0) * SIN(RADIANS($F$1)) + (-0.25)) * $E$1 - ($G$1 * TAN(RADIANS($H$1))) - $J$1</f>
        <v>-854.859085060717</v>
      </c>
    </row>
    <row r="77" customFormat="false" ht="15" hidden="false" customHeight="false" outlineLevel="0" collapsed="false">
      <c r="A77" s="5" t="n">
        <v>0.046563</v>
      </c>
      <c r="B77" s="5" t="n">
        <v>-0.034479</v>
      </c>
      <c r="C77" s="5" t="n">
        <f aca="false">$G$1</f>
        <v>207.300863086815</v>
      </c>
      <c r="D77" s="5" t="n">
        <f aca="false">(( -A77 - (-0.25) ) * SIN(RADIANS($F$1)) + (B77 - 0) * COS(RADIANS($F$1)) - 0.25 * SIN(RADIANS($F$1))) * $E$1 + ($G$1 * TAN(RADIANS($I$1)))</f>
        <v>-5.79259850077257</v>
      </c>
      <c r="E77" s="5" t="n">
        <f aca="false">(( -A77 - (-0.25) ) * COS(RADIANS($F$1)) - (B77 - 0) * SIN(RADIANS($F$1)) + (-0.25)) * $E$1 - ($G$1 * TAN(RADIANS($H$1))) - $J$1</f>
        <v>-856.581021742226</v>
      </c>
    </row>
    <row r="78" customFormat="false" ht="15" hidden="false" customHeight="false" outlineLevel="0" collapsed="false">
      <c r="A78" s="5" t="n">
        <v>0.057272</v>
      </c>
      <c r="B78" s="5" t="n">
        <v>-0.037641</v>
      </c>
      <c r="C78" s="5" t="n">
        <f aca="false">$G$1</f>
        <v>207.300863086815</v>
      </c>
      <c r="D78" s="5" t="n">
        <f aca="false">(( -A78 - (-0.25) ) * SIN(RADIANS($F$1)) + (B78 - 0) * COS(RADIANS($F$1)) - 0.25 * SIN(RADIANS($F$1))) * $E$1 + ($G$1 * TAN(RADIANS($I$1)))</f>
        <v>-6.28418119688995</v>
      </c>
      <c r="E78" s="5" t="n">
        <f aca="false">(( -A78 - (-0.25) ) * COS(RADIANS($F$1)) - (B78 - 0) * SIN(RADIANS($F$1)) + (-0.25)) * $E$1 - ($G$1 * TAN(RADIANS($H$1))) - $J$1</f>
        <v>-858.488688717573</v>
      </c>
    </row>
    <row r="79" customFormat="false" ht="15" hidden="false" customHeight="false" outlineLevel="0" collapsed="false">
      <c r="A79" s="5" t="n">
        <v>0.069015</v>
      </c>
      <c r="B79" s="5" t="n">
        <v>-0.040631</v>
      </c>
      <c r="C79" s="5" t="n">
        <f aca="false">$G$1</f>
        <v>207.300863086815</v>
      </c>
      <c r="D79" s="5" t="n">
        <f aca="false">(( -A79 - (-0.25) ) * SIN(RADIANS($F$1)) + (B79 - 0) * COS(RADIANS($F$1)) - 0.25 * SIN(RADIANS($F$1))) * $E$1 + ($G$1 * TAN(RADIANS($I$1)))</f>
        <v>-6.73907052843127</v>
      </c>
      <c r="E79" s="5" t="n">
        <f aca="false">(( -A79 - (-0.25) ) * COS(RADIANS($F$1)) - (B79 - 0) * SIN(RADIANS($F$1)) + (-0.25)) * $E$1 - ($G$1 * TAN(RADIANS($H$1))) - $J$1</f>
        <v>-860.577610287882</v>
      </c>
    </row>
    <row r="80" customFormat="false" ht="15" hidden="false" customHeight="false" outlineLevel="0" collapsed="false">
      <c r="A80" s="5" t="n">
        <v>0.081765</v>
      </c>
      <c r="B80" s="5" t="n">
        <v>-0.043437</v>
      </c>
      <c r="C80" s="5" t="n">
        <f aca="false">$G$1</f>
        <v>207.300863086815</v>
      </c>
      <c r="D80" s="5" t="n">
        <f aca="false">(( -A80 - (-0.25) ) * SIN(RADIANS($F$1)) + (B80 - 0) * COS(RADIANS($F$1)) - 0.25 * SIN(RADIANS($F$1))) * $E$1 + ($G$1 * TAN(RADIANS($I$1)))</f>
        <v>-7.15531691396184</v>
      </c>
      <c r="E80" s="5" t="n">
        <f aca="false">(( -A80 - (-0.25) ) * COS(RADIANS($F$1)) - (B80 - 0) * SIN(RADIANS($F$1)) + (-0.25)) * $E$1 - ($G$1 * TAN(RADIANS($H$1))) - $J$1</f>
        <v>-862.842951959505</v>
      </c>
    </row>
    <row r="81" customFormat="false" ht="15" hidden="false" customHeight="false" outlineLevel="0" collapsed="false">
      <c r="A81" s="5" t="n">
        <v>0.095492</v>
      </c>
      <c r="B81" s="5" t="n">
        <v>-0.046049</v>
      </c>
      <c r="C81" s="5" t="n">
        <f aca="false">$G$1</f>
        <v>207.300863086815</v>
      </c>
      <c r="D81" s="5" t="n">
        <f aca="false">(( -A81 - (-0.25) ) * SIN(RADIANS($F$1)) + (B81 - 0) * COS(RADIANS($F$1)) - 0.25 * SIN(RADIANS($F$1))) * $E$1 + ($G$1 * TAN(RADIANS($I$1)))</f>
        <v>-7.53134188119539</v>
      </c>
      <c r="E81" s="5" t="n">
        <f aca="false">(( -A81 - (-0.25) ) * COS(RADIANS($F$1)) - (B81 - 0) * SIN(RADIANS($F$1)) + (-0.25)) * $E$1 - ($G$1 * TAN(RADIANS($H$1))) - $J$1</f>
        <v>-865.279362596793</v>
      </c>
    </row>
    <row r="82" customFormat="false" ht="15" hidden="false" customHeight="false" outlineLevel="0" collapsed="false">
      <c r="A82" s="5" t="n">
        <v>0.110163</v>
      </c>
      <c r="B82" s="5" t="n">
        <v>-0.048457</v>
      </c>
      <c r="C82" s="5" t="n">
        <f aca="false">$G$1</f>
        <v>207.300863086815</v>
      </c>
      <c r="D82" s="5" t="n">
        <f aca="false">(( -A82 - (-0.25) ) * SIN(RADIANS($F$1)) + (B82 - 0) * COS(RADIANS($F$1)) - 0.25 * SIN(RADIANS($F$1))) * $E$1 + ($G$1 * TAN(RADIANS($I$1)))</f>
        <v>-7.86558542940932</v>
      </c>
      <c r="E82" s="5" t="n">
        <f aca="false">(( -A82 - (-0.25) ) * COS(RADIANS($F$1)) - (B82 - 0) * SIN(RADIANS($F$1)) + (-0.25)) * $E$1 - ($G$1 * TAN(RADIANS($H$1))) - $J$1</f>
        <v>-867.880962107719</v>
      </c>
    </row>
    <row r="83" customFormat="false" ht="15" hidden="false" customHeight="false" outlineLevel="0" collapsed="false">
      <c r="A83" s="5" t="n">
        <v>0.125745</v>
      </c>
      <c r="B83" s="5" t="n">
        <v>-0.050651</v>
      </c>
      <c r="C83" s="5" t="n">
        <f aca="false">$G$1</f>
        <v>207.300863086815</v>
      </c>
      <c r="D83" s="5" t="n">
        <f aca="false">(( -A83 - (-0.25) ) * SIN(RADIANS($F$1)) + (B83 - 0) * COS(RADIANS($F$1)) - 0.25 * SIN(RADIANS($F$1))) * $E$1 + ($G$1 * TAN(RADIANS($I$1)))</f>
        <v>-8.15648755788106</v>
      </c>
      <c r="E83" s="5" t="n">
        <f aca="false">(( -A83 - (-0.25) ) * COS(RADIANS($F$1)) - (B83 - 0) * SIN(RADIANS($F$1)) + (-0.25)) * $E$1 - ($G$1 * TAN(RADIANS($H$1))) - $J$1</f>
        <v>-870.641870400258</v>
      </c>
    </row>
    <row r="84" customFormat="false" ht="15" hidden="false" customHeight="false" outlineLevel="0" collapsed="false">
      <c r="A84" s="5" t="n">
        <v>0.142201</v>
      </c>
      <c r="B84" s="5" t="n">
        <v>-0.052625</v>
      </c>
      <c r="C84" s="5" t="n">
        <f aca="false">$G$1</f>
        <v>207.300863086815</v>
      </c>
      <c r="D84" s="5" t="n">
        <f aca="false">(( -A84 - (-0.25) ) * SIN(RADIANS($F$1)) + (B84 - 0) * COS(RADIANS($F$1)) - 0.25 * SIN(RADIANS($F$1))) * $E$1 + ($G$1 * TAN(RADIANS($I$1)))</f>
        <v>-8.40321816980904</v>
      </c>
      <c r="E84" s="5" t="n">
        <f aca="false">(( -A84 - (-0.25) ) * COS(RADIANS($F$1)) - (B84 - 0) * SIN(RADIANS($F$1)) + (-0.25)) * $E$1 - ($G$1 * TAN(RADIANS($H$1))) - $J$1</f>
        <v>-873.555526735965</v>
      </c>
    </row>
    <row r="85" customFormat="false" ht="15" hidden="false" customHeight="false" outlineLevel="0" collapsed="false">
      <c r="A85" s="5" t="n">
        <v>0.159492</v>
      </c>
      <c r="B85" s="5" t="n">
        <v>-0.054372</v>
      </c>
      <c r="C85" s="5" t="n">
        <f aca="false">$G$1</f>
        <v>207.300863086815</v>
      </c>
      <c r="D85" s="5" t="n">
        <f aca="false">(( -A85 - (-0.25) ) * SIN(RADIANS($F$1)) + (B85 - 0) * COS(RADIANS($F$1)) - 0.25 * SIN(RADIANS($F$1))) * $E$1 + ($G$1 * TAN(RADIANS($I$1)))</f>
        <v>-8.60478316397512</v>
      </c>
      <c r="E85" s="5" t="n">
        <f aca="false">(( -A85 - (-0.25) ) * COS(RADIANS($F$1)) - (B85 - 0) * SIN(RADIANS($F$1)) + (-0.25)) * $E$1 - ($G$1 * TAN(RADIANS($H$1))) - $J$1</f>
        <v>-876.615011581623</v>
      </c>
    </row>
    <row r="86" customFormat="false" ht="15" hidden="false" customHeight="false" outlineLevel="0" collapsed="false">
      <c r="A86" s="5" t="n">
        <v>0.177579</v>
      </c>
      <c r="B86" s="5" t="n">
        <v>-0.055886</v>
      </c>
      <c r="C86" s="5" t="n">
        <f aca="false">$G$1</f>
        <v>207.300863086815</v>
      </c>
      <c r="D86" s="5" t="n">
        <f aca="false">(( -A86 - (-0.25) ) * SIN(RADIANS($F$1)) + (B86 - 0) * COS(RADIANS($F$1)) - 0.25 * SIN(RADIANS($F$1))) * $E$1 + ($G$1 * TAN(RADIANS($I$1)))</f>
        <v>-8.76036475795352</v>
      </c>
      <c r="E86" s="5" t="n">
        <f aca="false">(( -A86 - (-0.25) ) * COS(RADIANS($F$1)) - (B86 - 0) * SIN(RADIANS($F$1)) + (-0.25)) * $E$1 - ($G$1 * TAN(RADIANS($H$1))) - $J$1</f>
        <v>-879.813411561204</v>
      </c>
    </row>
    <row r="87" customFormat="false" ht="15" hidden="false" customHeight="false" outlineLevel="0" collapsed="false">
      <c r="A87" s="5" t="n">
        <v>0.196419</v>
      </c>
      <c r="B87" s="5" t="n">
        <v>-0.057164</v>
      </c>
      <c r="C87" s="5" t="n">
        <f aca="false">$G$1</f>
        <v>207.300863086815</v>
      </c>
      <c r="D87" s="5" t="n">
        <f aca="false">(( -A87 - (-0.25) ) * SIN(RADIANS($F$1)) + (B87 - 0) * COS(RADIANS($F$1)) - 0.25 * SIN(RADIANS($F$1))) * $E$1 + ($G$1 * TAN(RADIANS($I$1)))</f>
        <v>-8.86969875444711</v>
      </c>
      <c r="E87" s="5" t="n">
        <f aca="false">(( -A87 - (-0.25) ) * COS(RADIANS($F$1)) - (B87 - 0) * SIN(RADIANS($F$1)) + (-0.25)) * $E$1 - ($G$1 * TAN(RADIANS($H$1))) - $J$1</f>
        <v>-883.143126495074</v>
      </c>
    </row>
    <row r="88" customFormat="false" ht="15" hidden="false" customHeight="false" outlineLevel="0" collapsed="false">
      <c r="A88" s="5" t="n">
        <v>0.215968</v>
      </c>
      <c r="B88" s="5" t="n">
        <v>-0.058205</v>
      </c>
      <c r="C88" s="5" t="n">
        <f aca="false">$G$1</f>
        <v>207.300863086815</v>
      </c>
      <c r="D88" s="5" t="n">
        <f aca="false">(( -A88 - (-0.25) ) * SIN(RADIANS($F$1)) + (B88 - 0) * COS(RADIANS($F$1)) - 0.25 * SIN(RADIANS($F$1))) * $E$1 + ($G$1 * TAN(RADIANS($I$1)))</f>
        <v>-8.93287975093135</v>
      </c>
      <c r="E88" s="5" t="n">
        <f aca="false">(( -A88 - (-0.25) ) * COS(RADIANS($F$1)) - (B88 - 0) * SIN(RADIANS($F$1)) + (-0.25)) * $E$1 - ($G$1 * TAN(RADIANS($H$1))) - $J$1</f>
        <v>-886.59639219918</v>
      </c>
    </row>
    <row r="89" customFormat="false" ht="15" hidden="false" customHeight="false" outlineLevel="0" collapsed="false">
      <c r="A89" s="5" t="n">
        <v>0.23618</v>
      </c>
      <c r="B89" s="5" t="n">
        <v>-0.059008</v>
      </c>
      <c r="C89" s="5" t="n">
        <f aca="false">$G$1</f>
        <v>207.300863086815</v>
      </c>
      <c r="D89" s="5" t="n">
        <f aca="false">(( -A89 - (-0.25) ) * SIN(RADIANS($F$1)) + (B89 - 0) * COS(RADIANS($F$1)) - 0.25 * SIN(RADIANS($F$1))) * $E$1 + ($G$1 * TAN(RADIANS($I$1)))</f>
        <v>-8.95001465925749</v>
      </c>
      <c r="E89" s="5" t="n">
        <f aca="false">(( -A89 - (-0.25) ) * COS(RADIANS($F$1)) - (B89 - 0) * SIN(RADIANS($F$1)) + (-0.25)) * $E$1 - ($G$1 * TAN(RADIANS($H$1))) - $J$1</f>
        <v>-890.165091851888</v>
      </c>
    </row>
    <row r="90" customFormat="false" ht="15" hidden="false" customHeight="false" outlineLevel="0" collapsed="false">
      <c r="A90" s="5" t="n">
        <v>0.257008</v>
      </c>
      <c r="B90" s="5" t="n">
        <v>-0.059576</v>
      </c>
      <c r="C90" s="5" t="n">
        <f aca="false">$G$1</f>
        <v>207.300863086815</v>
      </c>
      <c r="D90" s="5" t="n">
        <f aca="false">(( -A90 - (-0.25) ) * SIN(RADIANS($F$1)) + (B90 - 0) * COS(RADIANS($F$1)) - 0.25 * SIN(RADIANS($F$1))) * $E$1 + ($G$1 * TAN(RADIANS($I$1)))</f>
        <v>-8.92192182363407</v>
      </c>
      <c r="E90" s="5" t="n">
        <f aca="false">(( -A90 - (-0.25) ) * COS(RADIANS($F$1)) - (B90 - 0) * SIN(RADIANS($F$1)) + (-0.25)) * $E$1 - ($G$1 * TAN(RADIANS($H$1))) - $J$1</f>
        <v>-893.840956941522</v>
      </c>
    </row>
    <row r="91" customFormat="false" ht="15" hidden="false" customHeight="false" outlineLevel="0" collapsed="false">
      <c r="A91" s="5" t="n">
        <v>0.278404</v>
      </c>
      <c r="B91" s="5" t="n">
        <v>-0.05991</v>
      </c>
      <c r="C91" s="5" t="n">
        <f aca="false">$G$1</f>
        <v>207.300863086815</v>
      </c>
      <c r="D91" s="5" t="n">
        <f aca="false">(( -A91 - (-0.25) ) * SIN(RADIANS($F$1)) + (B91 - 0) * COS(RADIANS($F$1)) - 0.25 * SIN(RADIANS($F$1))) * $E$1 + ($G$1 * TAN(RADIANS($I$1)))</f>
        <v>-8.84907310787285</v>
      </c>
      <c r="E91" s="5" t="n">
        <f aca="false">(( -A91 - (-0.25) ) * COS(RADIANS($F$1)) - (B91 - 0) * SIN(RADIANS($F$1)) + (-0.25)) * $E$1 - ($G$1 * TAN(RADIANS($H$1))) - $J$1</f>
        <v>-897.615530323236</v>
      </c>
    </row>
    <row r="92" customFormat="false" ht="15" hidden="false" customHeight="false" outlineLevel="0" collapsed="false">
      <c r="A92" s="5" t="n">
        <v>0.300318</v>
      </c>
      <c r="B92" s="5" t="n">
        <v>-0.060017</v>
      </c>
      <c r="C92" s="5" t="n">
        <f aca="false">$G$1</f>
        <v>207.300863086815</v>
      </c>
      <c r="D92" s="5" t="n">
        <f aca="false">(( -A92 - (-0.25) ) * SIN(RADIANS($F$1)) + (B92 - 0) * COS(RADIANS($F$1)) - 0.25 * SIN(RADIANS($F$1))) * $E$1 + ($G$1 * TAN(RADIANS($I$1)))</f>
        <v>-8.73301060291543</v>
      </c>
      <c r="E92" s="5" t="n">
        <f aca="false">(( -A92 - (-0.25) ) * COS(RADIANS($F$1)) - (B92 - 0) * SIN(RADIANS($F$1)) + (-0.25)) * $E$1 - ($G$1 * TAN(RADIANS($H$1))) - $J$1</f>
        <v>-901.480039157729</v>
      </c>
    </row>
    <row r="93" customFormat="false" ht="15" hidden="false" customHeight="false" outlineLevel="0" collapsed="false">
      <c r="A93" s="5" t="n">
        <v>0.322698</v>
      </c>
      <c r="B93" s="5" t="n">
        <v>-0.059903</v>
      </c>
      <c r="C93" s="5" t="n">
        <f aca="false">$G$1</f>
        <v>207.300863086815</v>
      </c>
      <c r="D93" s="5" t="n">
        <f aca="false">(( -A93 - (-0.25) ) * SIN(RADIANS($F$1)) + (B93 - 0) * COS(RADIANS($F$1)) - 0.25 * SIN(RADIANS($F$1))) * $E$1 + ($G$1 * TAN(RADIANS($I$1)))</f>
        <v>-8.57511239528692</v>
      </c>
      <c r="E93" s="5" t="n">
        <f aca="false">(( -A93 - (-0.25) ) * COS(RADIANS($F$1)) - (B93 - 0) * SIN(RADIANS($F$1)) + (-0.25)) * $E$1 - ($G$1 * TAN(RADIANS($H$1))) - $J$1</f>
        <v>-905.425351810927</v>
      </c>
    </row>
    <row r="94" customFormat="false" ht="15" hidden="false" customHeight="false" outlineLevel="0" collapsed="false">
      <c r="A94" s="5" t="n">
        <v>0.345492</v>
      </c>
      <c r="B94" s="5" t="n">
        <v>-0.059575</v>
      </c>
      <c r="C94" s="5" t="n">
        <f aca="false">$G$1</f>
        <v>207.300863086815</v>
      </c>
      <c r="D94" s="5" t="n">
        <f aca="false">(( -A94 - (-0.25) ) * SIN(RADIANS($F$1)) + (B94 - 0) * COS(RADIANS($F$1)) - 0.25 * SIN(RADIANS($F$1))) * $E$1 + ($G$1 * TAN(RADIANS($I$1)))</f>
        <v>-8.37693289030474</v>
      </c>
      <c r="E94" s="5" t="n">
        <f aca="false">(( -A94 - (-0.25) ) * COS(RADIANS($F$1)) - (B94 - 0) * SIN(RADIANS($F$1)) + (-0.25)) * $E$1 - ($G$1 * TAN(RADIANS($H$1))) - $J$1</f>
        <v>-909.442342805943</v>
      </c>
    </row>
    <row r="95" customFormat="false" ht="15" hidden="false" customHeight="false" outlineLevel="0" collapsed="false">
      <c r="A95" s="5" t="n">
        <v>0.368646</v>
      </c>
      <c r="B95" s="5" t="n">
        <v>-0.059042</v>
      </c>
      <c r="C95" s="5" t="n">
        <f aca="false">$G$1</f>
        <v>207.300863086815</v>
      </c>
      <c r="D95" s="5" t="n">
        <f aca="false">(( -A95 - (-0.25) ) * SIN(RADIANS($F$1)) + (B95 - 0) * COS(RADIANS($F$1)) - 0.25 * SIN(RADIANS($F$1))) * $E$1 + ($G$1 * TAN(RADIANS($I$1)))</f>
        <v>-8.1403914452468</v>
      </c>
      <c r="E95" s="5" t="n">
        <f aca="false">(( -A95 - (-0.25) ) * COS(RADIANS($F$1)) - (B95 - 0) * SIN(RADIANS($F$1)) + (-0.25)) * $E$1 - ($G$1 * TAN(RADIANS($H$1))) - $J$1</f>
        <v>-913.521546342681</v>
      </c>
    </row>
    <row r="96" customFormat="false" ht="15" hidden="false" customHeight="false" outlineLevel="0" collapsed="false">
      <c r="A96" s="5" t="n">
        <v>0.392108</v>
      </c>
      <c r="B96" s="5" t="n">
        <v>-0.058314</v>
      </c>
      <c r="C96" s="5" t="n">
        <f aca="false">$G$1</f>
        <v>207.300863086815</v>
      </c>
      <c r="D96" s="5" t="n">
        <f aca="false">(( -A96 - (-0.25) ) * SIN(RADIANS($F$1)) + (B96 - 0) * COS(RADIANS($F$1)) - 0.25 * SIN(RADIANS($F$1))) * $E$1 + ($G$1 * TAN(RADIANS($I$1)))</f>
        <v>-7.86757142180755</v>
      </c>
      <c r="E96" s="5" t="n">
        <f aca="false">(( -A96 - (-0.25) ) * COS(RADIANS($F$1)) - (B96 - 0) * SIN(RADIANS($F$1)) + (-0.25)) * $E$1 - ($G$1 * TAN(RADIANS($H$1))) - $J$1</f>
        <v>-917.65385541582</v>
      </c>
    </row>
    <row r="97" customFormat="false" ht="15" hidden="false" customHeight="false" outlineLevel="0" collapsed="false">
      <c r="A97" s="5" t="n">
        <v>0.415822</v>
      </c>
      <c r="B97" s="5" t="n">
        <v>-0.057403</v>
      </c>
      <c r="C97" s="5" t="n">
        <f aca="false">$G$1</f>
        <v>207.300863086815</v>
      </c>
      <c r="D97" s="5" t="n">
        <f aca="false">(( -A97 - (-0.25) ) * SIN(RADIANS($F$1)) + (B97 - 0) * COS(RADIANS($F$1)) - 0.25 * SIN(RADIANS($F$1))) * $E$1 + ($G$1 * TAN(RADIANS($I$1)))</f>
        <v>-7.56093344801777</v>
      </c>
      <c r="E97" s="5" t="n">
        <f aca="false">(( -A97 - (-0.25) ) * COS(RADIANS($F$1)) - (B97 - 0) * SIN(RADIANS($F$1)) + (-0.25)) * $E$1 - ($G$1 * TAN(RADIANS($H$1))) - $J$1</f>
        <v>-921.829470059242</v>
      </c>
    </row>
    <row r="98" customFormat="false" ht="15" hidden="false" customHeight="false" outlineLevel="0" collapsed="false">
      <c r="A98" s="5" t="n">
        <v>0.439732</v>
      </c>
      <c r="B98" s="5" t="n">
        <v>-0.05632</v>
      </c>
      <c r="C98" s="5" t="n">
        <f aca="false">$G$1</f>
        <v>207.300863086815</v>
      </c>
      <c r="D98" s="5" t="n">
        <f aca="false">(( -A98 - (-0.25) ) * SIN(RADIANS($F$1)) + (B98 - 0) * COS(RADIANS($F$1)) - 0.25 * SIN(RADIANS($F$1))) * $E$1 + ($G$1 * TAN(RADIANS($I$1)))</f>
        <v>-7.22276183311584</v>
      </c>
      <c r="E98" s="5" t="n">
        <f aca="false">(( -A98 - (-0.25) ) * COS(RADIANS($F$1)) - (B98 - 0) * SIN(RADIANS($F$1)) + (-0.25)) * $E$1 - ($G$1 * TAN(RADIANS($H$1))) - $J$1</f>
        <v>-926.038584149644</v>
      </c>
    </row>
    <row r="99" customFormat="false" ht="15" hidden="false" customHeight="false" outlineLevel="0" collapsed="false">
      <c r="A99" s="5" t="n">
        <v>0.463783</v>
      </c>
      <c r="B99" s="5" t="n">
        <v>-0.055077</v>
      </c>
      <c r="C99" s="5" t="n">
        <f aca="false">$G$1</f>
        <v>207.300863086815</v>
      </c>
      <c r="D99" s="5" t="n">
        <f aca="false">(( -A99 - (-0.25) ) * SIN(RADIANS($F$1)) + (B99 - 0) * COS(RADIANS($F$1)) - 0.25 * SIN(RADIANS($F$1))) * $E$1 + ($G$1 * TAN(RADIANS($I$1)))</f>
        <v>-6.85551104794464</v>
      </c>
      <c r="E99" s="5" t="n">
        <f aca="false">(( -A99 - (-0.25) ) * COS(RADIANS($F$1)) - (B99 - 0) * SIN(RADIANS($F$1)) + (-0.25)) * $E$1 - ($G$1 * TAN(RADIANS($H$1))) - $J$1</f>
        <v>-930.271574039702</v>
      </c>
    </row>
    <row r="100" customFormat="false" ht="15" hidden="false" customHeight="false" outlineLevel="0" collapsed="false">
      <c r="A100" s="5" t="n">
        <v>0.487918</v>
      </c>
      <c r="B100" s="5" t="n">
        <v>-0.053687</v>
      </c>
      <c r="C100" s="5" t="n">
        <f aca="false">$G$1</f>
        <v>207.300863086815</v>
      </c>
      <c r="D100" s="5" t="n">
        <f aca="false">(( -A100 - (-0.25) ) * SIN(RADIANS($F$1)) + (B100 - 0) * COS(RADIANS($F$1)) - 0.25 * SIN(RADIANS($F$1))) * $E$1 + ($G$1 * TAN(RADIANS($I$1)))</f>
        <v>-6.46182419651516</v>
      </c>
      <c r="E100" s="5" t="n">
        <f aca="false">(( -A100 - (-0.25) ) * COS(RADIANS($F$1)) - (B100 - 0) * SIN(RADIANS($F$1)) + (-0.25)) * $E$1 - ($G$1 * TAN(RADIANS($H$1))) - $J$1</f>
        <v>-934.518469601694</v>
      </c>
    </row>
    <row r="101" customFormat="false" ht="15" hidden="false" customHeight="false" outlineLevel="0" collapsed="false">
      <c r="A101" s="5" t="n">
        <v>0.512082</v>
      </c>
      <c r="B101" s="5" t="n">
        <v>-0.052162</v>
      </c>
      <c r="C101" s="5" t="n">
        <f aca="false">$G$1</f>
        <v>207.300863086815</v>
      </c>
      <c r="D101" s="5" t="n">
        <f aca="false">(( -A101 - (-0.25) ) * SIN(RADIANS($F$1)) + (B101 - 0) * COS(RADIANS($F$1)) - 0.25 * SIN(RADIANS($F$1))) * $E$1 + ($G$1 * TAN(RADIANS($I$1)))</f>
        <v>-6.04415574967025</v>
      </c>
      <c r="E101" s="5" t="n">
        <f aca="false">(( -A101 - (-0.25) ) * COS(RADIANS($F$1)) - (B101 - 0) * SIN(RADIANS($F$1)) + (-0.25)) * $E$1 - ($G$1 * TAN(RADIANS($H$1))) - $J$1</f>
        <v>-938.769647188297</v>
      </c>
    </row>
    <row r="102" customFormat="false" ht="15" hidden="false" customHeight="false" outlineLevel="0" collapsed="false">
      <c r="A102" s="5" t="n">
        <v>0.536217</v>
      </c>
      <c r="B102" s="5" t="n">
        <v>-0.050516</v>
      </c>
      <c r="C102" s="5" t="n">
        <f aca="false">$G$1</f>
        <v>207.300863086815</v>
      </c>
      <c r="D102" s="5" t="n">
        <f aca="false">(( -A102 - (-0.25) ) * SIN(RADIANS($F$1)) + (B102 - 0) * COS(RADIANS($F$1)) - 0.25 * SIN(RADIANS($F$1))) * $E$1 + ($G$1 * TAN(RADIANS($I$1)))</f>
        <v>-5.60533128740116</v>
      </c>
      <c r="E102" s="5" t="n">
        <f aca="false">(( -A102 - (-0.25) ) * COS(RADIANS($F$1)) - (B102 - 0) * SIN(RADIANS($F$1)) + (-0.25)) * $E$1 - ($G$1 * TAN(RADIANS($H$1))) - $J$1</f>
        <v>-943.014966510185</v>
      </c>
    </row>
    <row r="103" customFormat="false" ht="15" hidden="false" customHeight="false" outlineLevel="0" collapsed="false">
      <c r="A103" s="5" t="n">
        <v>0.560268</v>
      </c>
      <c r="B103" s="5" t="n">
        <v>-0.048762</v>
      </c>
      <c r="C103" s="5" t="n">
        <f aca="false">$G$1</f>
        <v>207.300863086815</v>
      </c>
      <c r="D103" s="5" t="n">
        <f aca="false">(( -A103 - (-0.25) ) * SIN(RADIANS($F$1)) + (B103 - 0) * COS(RADIANS($F$1)) - 0.25 * SIN(RADIANS($F$1))) * $E$1 + ($G$1 * TAN(RADIANS($I$1)))</f>
        <v>-5.14798159934308</v>
      </c>
      <c r="E103" s="5" t="n">
        <f aca="false">(( -A103 - (-0.25) ) * COS(RADIANS($F$1)) - (B103 - 0) * SIN(RADIANS($F$1)) + (-0.25)) * $E$1 - ($G$1 * TAN(RADIANS($H$1))) - $J$1</f>
        <v>-947.244810077224</v>
      </c>
    </row>
    <row r="104" customFormat="false" ht="15" hidden="false" customHeight="false" outlineLevel="0" collapsed="false">
      <c r="A104" s="5" t="n">
        <v>0.584179</v>
      </c>
      <c r="B104" s="5" t="n">
        <v>-0.046912</v>
      </c>
      <c r="C104" s="5" t="n">
        <f aca="false">$G$1</f>
        <v>207.300863086815</v>
      </c>
      <c r="D104" s="5" t="n">
        <f aca="false">(( -A104 - (-0.25) ) * SIN(RADIANS($F$1)) + (B104 - 0) * COS(RADIANS($F$1)) - 0.25 * SIN(RADIANS($F$1))) * $E$1 + ($G$1 * TAN(RADIANS($I$1)))</f>
        <v>-4.67456731352678</v>
      </c>
      <c r="E104" s="5" t="n">
        <f aca="false">(( -A104 - (-0.25) ) * COS(RADIANS($F$1)) - (B104 - 0) * SIN(RADIANS($F$1)) + (-0.25)) * $E$1 - ($G$1 * TAN(RADIANS($H$1))) - $J$1</f>
        <v>-951.449377923295</v>
      </c>
    </row>
    <row r="105" customFormat="false" ht="15" hidden="false" customHeight="false" outlineLevel="0" collapsed="false">
      <c r="A105" s="5" t="n">
        <v>0.607892</v>
      </c>
      <c r="B105" s="5" t="n">
        <v>-0.04498</v>
      </c>
      <c r="C105" s="5" t="n">
        <f aca="false">$G$1</f>
        <v>207.300863086815</v>
      </c>
      <c r="D105" s="5" t="n">
        <f aca="false">(( -A105 - (-0.25) ) * SIN(RADIANS($F$1)) + (B105 - 0) * COS(RADIANS($F$1)) - 0.25 * SIN(RADIANS($F$1))) * $E$1 + ($G$1 * TAN(RADIANS($I$1)))</f>
        <v>-4.18791400994349</v>
      </c>
      <c r="E105" s="5" t="n">
        <f aca="false">(( -A105 - (-0.25) ) * COS(RADIANS($F$1)) - (B105 - 0) * SIN(RADIANS($F$1)) + (-0.25)) * $E$1 - ($G$1 * TAN(RADIANS($H$1))) - $J$1</f>
        <v>-955.618529759075</v>
      </c>
    </row>
    <row r="106" customFormat="false" ht="15" hidden="false" customHeight="false" outlineLevel="0" collapsed="false">
      <c r="A106" s="5" t="n">
        <v>0.631354</v>
      </c>
      <c r="B106" s="5" t="n">
        <v>-0.042978</v>
      </c>
      <c r="C106" s="5" t="n">
        <f aca="false">$G$1</f>
        <v>207.300863086815</v>
      </c>
      <c r="D106" s="5" t="n">
        <f aca="false">(( -A106 - (-0.25) ) * SIN(RADIANS($F$1)) + (B106 - 0) * COS(RADIANS($F$1)) - 0.25 * SIN(RADIANS($F$1))) * $E$1 + ($G$1 * TAN(RADIANS($I$1)))</f>
        <v>-3.69046384506026</v>
      </c>
      <c r="E106" s="5" t="n">
        <f aca="false">(( -A106 - (-0.25) ) * COS(RADIANS($F$1)) - (B106 - 0) * SIN(RADIANS($F$1)) + (-0.25)) * $E$1 - ($G$1 * TAN(RADIANS($H$1))) - $J$1</f>
        <v>-959.742994574823</v>
      </c>
    </row>
    <row r="107" customFormat="false" ht="15" hidden="false" customHeight="false" outlineLevel="0" collapsed="false">
      <c r="A107" s="5" t="n">
        <v>0.654509</v>
      </c>
      <c r="B107" s="5" t="n">
        <v>-0.040917</v>
      </c>
      <c r="C107" s="5" t="n">
        <f aca="false">$G$1</f>
        <v>207.300863086815</v>
      </c>
      <c r="D107" s="5" t="n">
        <f aca="false">(( -A107 - (-0.25) ) * SIN(RADIANS($F$1)) + (B107 - 0) * COS(RADIANS($F$1)) - 0.25 * SIN(RADIANS($F$1))) * $E$1 + ($G$1 * TAN(RADIANS($I$1)))</f>
        <v>-3.18450112811551</v>
      </c>
      <c r="E107" s="5" t="n">
        <f aca="false">(( -A107 - (-0.25) ) * COS(RADIANS($F$1)) - (B107 - 0) * SIN(RADIANS($F$1)) + (-0.25)) * $E$1 - ($G$1 * TAN(RADIANS($H$1))) - $J$1</f>
        <v>-963.812966247236</v>
      </c>
    </row>
    <row r="108" customFormat="false" ht="15" hidden="false" customHeight="false" outlineLevel="0" collapsed="false">
      <c r="A108" s="5" t="n">
        <v>0.677303</v>
      </c>
      <c r="B108" s="5" t="n">
        <v>-0.038811</v>
      </c>
      <c r="C108" s="5" t="n">
        <f aca="false">$G$1</f>
        <v>207.300863086815</v>
      </c>
      <c r="D108" s="5" t="n">
        <f aca="false">(( -A108 - (-0.25) ) * SIN(RADIANS($F$1)) + (B108 - 0) * COS(RADIANS($F$1)) - 0.25 * SIN(RADIANS($F$1))) * $E$1 + ($G$1 * TAN(RADIANS($I$1)))</f>
        <v>-2.67282681034886</v>
      </c>
      <c r="E108" s="5" t="n">
        <f aca="false">(( -A108 - (-0.25) ) * COS(RADIANS($F$1)) - (B108 - 0) * SIN(RADIANS($F$1)) + (-0.25)) * $E$1 - ($G$1 * TAN(RADIANS($H$1))) - $J$1</f>
        <v>-967.819009762158</v>
      </c>
    </row>
    <row r="109" customFormat="false" ht="15" hidden="false" customHeight="false" outlineLevel="0" collapsed="false">
      <c r="A109" s="5" t="n">
        <v>0.699682</v>
      </c>
      <c r="B109" s="5" t="n">
        <v>-0.03667</v>
      </c>
      <c r="C109" s="5" t="n">
        <f aca="false">$G$1</f>
        <v>207.300863086815</v>
      </c>
      <c r="D109" s="5" t="n">
        <f aca="false">(( -A109 - (-0.25) ) * SIN(RADIANS($F$1)) + (B109 - 0) * COS(RADIANS($F$1)) - 0.25 * SIN(RADIANS($F$1))) * $E$1 + ($G$1 * TAN(RADIANS($I$1)))</f>
        <v>-2.15753656783058</v>
      </c>
      <c r="E109" s="5" t="n">
        <f aca="false">(( -A109 - (-0.25) ) * COS(RADIANS($F$1)) - (B109 - 0) * SIN(RADIANS($F$1)) + (-0.25)) * $E$1 - ($G$1 * TAN(RADIANS($H$1))) - $J$1</f>
        <v>-971.751665476681</v>
      </c>
    </row>
    <row r="110" customFormat="false" ht="15" hidden="false" customHeight="false" outlineLevel="0" collapsed="false">
      <c r="A110" s="5" t="n">
        <v>0.721596</v>
      </c>
      <c r="B110" s="5" t="n">
        <v>-0.034506</v>
      </c>
      <c r="C110" s="5" t="n">
        <f aca="false">$G$1</f>
        <v>207.300863086815</v>
      </c>
      <c r="D110" s="5" t="n">
        <f aca="false">(( -A110 - (-0.25) ) * SIN(RADIANS($F$1)) + (B110 - 0) * COS(RADIANS($F$1)) - 0.25 * SIN(RADIANS($F$1))) * $E$1 + ($G$1 * TAN(RADIANS($I$1)))</f>
        <v>-1.641054085464</v>
      </c>
      <c r="E110" s="5" t="n">
        <f aca="false">(( -A110 - (-0.25) ) * COS(RADIANS($F$1)) - (B110 - 0) * SIN(RADIANS($F$1)) + (-0.25)) * $E$1 - ($G$1 * TAN(RADIANS($H$1))) - $J$1</f>
        <v>-975.602191337443</v>
      </c>
    </row>
    <row r="111" customFormat="false" ht="15" hidden="false" customHeight="false" outlineLevel="0" collapsed="false">
      <c r="A111" s="5" t="n">
        <v>0.742992</v>
      </c>
      <c r="B111" s="5" t="n">
        <v>-0.032329</v>
      </c>
      <c r="C111" s="5" t="n">
        <f aca="false">$G$1</f>
        <v>207.300863086815</v>
      </c>
      <c r="D111" s="5" t="n">
        <f aca="false">(( -A111 - (-0.25) ) * SIN(RADIANS($F$1)) + (B111 - 0) * COS(RADIANS($F$1)) - 0.25 * SIN(RADIANS($F$1))) * $E$1 + ($G$1 * TAN(RADIANS($I$1)))</f>
        <v>-1.12546888213147</v>
      </c>
      <c r="E111" s="5" t="n">
        <f aca="false">(( -A111 - (-0.25) ) * COS(RADIANS($F$1)) - (B111 - 0) * SIN(RADIANS($F$1)) + (-0.25)) * $E$1 - ($G$1 * TAN(RADIANS($H$1))) - $J$1</f>
        <v>-979.361304020329</v>
      </c>
    </row>
    <row r="112" customFormat="false" ht="15" hidden="false" customHeight="false" outlineLevel="0" collapsed="false">
      <c r="A112" s="5" t="n">
        <v>0.76382</v>
      </c>
      <c r="B112" s="5" t="n">
        <v>-0.030152</v>
      </c>
      <c r="C112" s="5" t="n">
        <f aca="false">$G$1</f>
        <v>207.300863086815</v>
      </c>
      <c r="D112" s="5" t="n">
        <f aca="false">(( -A112 - (-0.25) ) * SIN(RADIANS($F$1)) + (B112 - 0) * COS(RADIANS($F$1)) - 0.25 * SIN(RADIANS($F$1))) * $E$1 + ($G$1 * TAN(RADIANS($I$1)))</f>
        <v>-0.613380961528663</v>
      </c>
      <c r="E112" s="5" t="n">
        <f aca="false">(( -A112 - (-0.25) ) * COS(RADIANS($F$1)) - (B112 - 0) * SIN(RADIANS($F$1)) + (-0.25)) * $E$1 - ($G$1 * TAN(RADIANS($H$1))) - $J$1</f>
        <v>-983.020267629165</v>
      </c>
    </row>
    <row r="113" customFormat="false" ht="15" hidden="false" customHeight="false" outlineLevel="0" collapsed="false">
      <c r="A113" s="5" t="n">
        <v>0.784032</v>
      </c>
      <c r="B113" s="5" t="n">
        <v>-0.027983</v>
      </c>
      <c r="C113" s="5" t="n">
        <f aca="false">$G$1</f>
        <v>207.300863086815</v>
      </c>
      <c r="D113" s="5" t="n">
        <f aca="false">(( -A113 - (-0.25) ) * SIN(RADIANS($F$1)) + (B113 - 0) * COS(RADIANS($F$1)) - 0.25 * SIN(RADIANS($F$1))) * $E$1 + ($G$1 * TAN(RADIANS($I$1)))</f>
        <v>-0.106496419013736</v>
      </c>
      <c r="E113" s="5" t="n">
        <f aca="false">(( -A113 - (-0.25) ) * COS(RADIANS($F$1)) - (B113 - 0) * SIN(RADIANS($F$1)) + (-0.25)) * $E$1 - ($G$1 * TAN(RADIANS($H$1))) - $J$1</f>
        <v>-986.570668119421</v>
      </c>
    </row>
    <row r="114" customFormat="false" ht="15" hidden="false" customHeight="false" outlineLevel="0" collapsed="false">
      <c r="A114" s="5" t="n">
        <v>0.803581</v>
      </c>
      <c r="B114" s="5" t="n">
        <v>-0.025834</v>
      </c>
      <c r="C114" s="5" t="n">
        <f aca="false">$G$1</f>
        <v>207.300863086815</v>
      </c>
      <c r="D114" s="5" t="n">
        <f aca="false">(( -A114 - (-0.25) ) * SIN(RADIANS($F$1)) + (B114 - 0) * COS(RADIANS($F$1)) - 0.25 * SIN(RADIANS($F$1))) * $E$1 + ($G$1 * TAN(RADIANS($I$1)))</f>
        <v>0.392779532073702</v>
      </c>
      <c r="E114" s="5" t="n">
        <f aca="false">(( -A114 - (-0.25) ) * COS(RADIANS($F$1)) - (B114 - 0) * SIN(RADIANS($F$1)) + (-0.25)) * $E$1 - ($G$1 * TAN(RADIANS($H$1))) - $J$1</f>
        <v>-990.004292394112</v>
      </c>
    </row>
    <row r="115" customFormat="false" ht="15" hidden="false" customHeight="false" outlineLevel="0" collapsed="false">
      <c r="A115" s="5" t="n">
        <v>0.822421</v>
      </c>
      <c r="B115" s="5" t="n">
        <v>-0.023714</v>
      </c>
      <c r="C115" s="5" t="n">
        <f aca="false">$G$1</f>
        <v>207.300863086815</v>
      </c>
      <c r="D115" s="5" t="n">
        <f aca="false">(( -A115 - (-0.25) ) * SIN(RADIANS($F$1)) + (B115 - 0) * COS(RADIANS($F$1)) - 0.25 * SIN(RADIANS($F$1))) * $E$1 + ($G$1 * TAN(RADIANS($I$1)))</f>
        <v>0.88257679195896</v>
      </c>
      <c r="E115" s="5" t="n">
        <f aca="false">(( -A115 - (-0.25) ) * COS(RADIANS($F$1)) - (B115 - 0) * SIN(RADIANS($F$1)) + (-0.25)) * $E$1 - ($G$1 * TAN(RADIANS($H$1))) - $J$1</f>
        <v>-993.313085203482</v>
      </c>
    </row>
    <row r="116" customFormat="false" ht="15" hidden="false" customHeight="false" outlineLevel="0" collapsed="false">
      <c r="A116" s="5" t="n">
        <v>0.840508</v>
      </c>
      <c r="B116" s="5" t="n">
        <v>-0.021635</v>
      </c>
      <c r="C116" s="5" t="n">
        <f aca="false">$G$1</f>
        <v>207.300863086815</v>
      </c>
      <c r="D116" s="5" t="n">
        <f aca="false">(( -A116 - (-0.25) ) * SIN(RADIANS($F$1)) + (B116 - 0) * COS(RADIANS($F$1)) - 0.25 * SIN(RADIANS($F$1))) * $E$1 + ($G$1 * TAN(RADIANS($I$1)))</f>
        <v>1.36050861886614</v>
      </c>
      <c r="E116" s="5" t="n">
        <f aca="false">(( -A116 - (-0.25) ) * COS(RADIANS($F$1)) - (B116 - 0) * SIN(RADIANS($F$1)) + (-0.25)) * $E$1 - ($G$1 * TAN(RADIANS($H$1))) - $J$1</f>
        <v>-996.489362406923</v>
      </c>
    </row>
    <row r="117" customFormat="false" ht="15" hidden="false" customHeight="false" outlineLevel="0" collapsed="false">
      <c r="A117" s="5" t="n">
        <v>0.8578</v>
      </c>
      <c r="B117" s="5" t="n">
        <v>-0.019605</v>
      </c>
      <c r="C117" s="5" t="n">
        <f aca="false">$G$1</f>
        <v>207.300863086815</v>
      </c>
      <c r="D117" s="5" t="n">
        <f aca="false">(( -A117 - (-0.25) ) * SIN(RADIANS($F$1)) + (B117 - 0) * COS(RADIANS($F$1)) - 0.25 * SIN(RADIANS($F$1))) * $E$1 + ($G$1 * TAN(RADIANS($I$1)))</f>
        <v>1.82490586056452</v>
      </c>
      <c r="E117" s="5" t="n">
        <f aca="false">(( -A117 - (-0.25) ) * COS(RADIANS($F$1)) - (B117 - 0) * SIN(RADIANS($F$1)) + (-0.25)) * $E$1 - ($G$1 * TAN(RADIANS($H$1))) - $J$1</f>
        <v>-999.525767872658</v>
      </c>
    </row>
    <row r="118" customFormat="false" ht="15" hidden="false" customHeight="false" outlineLevel="0" collapsed="false">
      <c r="A118" s="5" t="n">
        <v>0.874255</v>
      </c>
      <c r="B118" s="5" t="n">
        <v>-0.017635</v>
      </c>
      <c r="C118" s="5" t="n">
        <f aca="false">$G$1</f>
        <v>207.300863086815</v>
      </c>
      <c r="D118" s="5" t="n">
        <f aca="false">(( -A118 - (-0.25) ) * SIN(RADIANS($F$1)) + (B118 - 0) * COS(RADIANS($F$1)) - 0.25 * SIN(RADIANS($F$1))) * $E$1 + ($G$1 * TAN(RADIANS($I$1)))</f>
        <v>2.27357040844634</v>
      </c>
      <c r="E118" s="5" t="n">
        <f aca="false">(( -A118 - (-0.25) ) * COS(RADIANS($F$1)) - (B118 - 0) * SIN(RADIANS($F$1)) + (-0.25)) * $E$1 - ($G$1 * TAN(RADIANS($H$1))) - $J$1</f>
        <v>-1002.41496394048</v>
      </c>
    </row>
    <row r="119" customFormat="false" ht="15" hidden="false" customHeight="false" outlineLevel="0" collapsed="false">
      <c r="A119" s="5" t="n">
        <v>0.889837</v>
      </c>
      <c r="B119" s="5" t="n">
        <v>-0.015735</v>
      </c>
      <c r="C119" s="5" t="n">
        <f aca="false">$G$1</f>
        <v>207.300863086815</v>
      </c>
      <c r="D119" s="5" t="n">
        <f aca="false">(( -A119 - (-0.25) ) * SIN(RADIANS($F$1)) + (B119 - 0) * COS(RADIANS($F$1)) - 0.25 * SIN(RADIANS($F$1))) * $E$1 + ($G$1 * TAN(RADIANS($I$1)))</f>
        <v>2.70451741582363</v>
      </c>
      <c r="E119" s="5" t="n">
        <f aca="false">(( -A119 - (-0.25) ) * COS(RADIANS($F$1)) - (B119 - 0) * SIN(RADIANS($F$1)) + (-0.25)) * $E$1 - ($G$1 * TAN(RADIANS($H$1))) - $J$1</f>
        <v>-1005.15066470574</v>
      </c>
    </row>
    <row r="120" customFormat="false" ht="15" hidden="false" customHeight="false" outlineLevel="0" collapsed="false">
      <c r="A120" s="5" t="n">
        <v>0.904509</v>
      </c>
      <c r="B120" s="5" t="n">
        <v>-0.013914</v>
      </c>
      <c r="C120" s="5" t="n">
        <f aca="false">$G$1</f>
        <v>207.300863086815</v>
      </c>
      <c r="D120" s="5" t="n">
        <f aca="false">(( -A120 - (-0.25) ) * SIN(RADIANS($F$1)) + (B120 - 0) * COS(RADIANS($F$1)) - 0.25 * SIN(RADIANS($F$1))) * $E$1 + ($G$1 * TAN(RADIANS($I$1)))</f>
        <v>3.11593219761284</v>
      </c>
      <c r="E120" s="5" t="n">
        <f aca="false">(( -A120 - (-0.25) ) * COS(RADIANS($F$1)) - (B120 - 0) * SIN(RADIANS($F$1)) + (-0.25)) * $E$1 - ($G$1 * TAN(RADIANS($H$1))) - $J$1</f>
        <v>-1007.72640178781</v>
      </c>
    </row>
    <row r="121" customFormat="false" ht="15" hidden="false" customHeight="false" outlineLevel="0" collapsed="false">
      <c r="A121" s="5" t="n">
        <v>0.918235</v>
      </c>
      <c r="B121" s="5" t="n">
        <v>-0.012182</v>
      </c>
      <c r="C121" s="5" t="n">
        <f aca="false">$G$1</f>
        <v>207.300863086815</v>
      </c>
      <c r="D121" s="5" t="n">
        <f aca="false">(( -A121 - (-0.25) ) * SIN(RADIANS($F$1)) + (B121 - 0) * COS(RADIANS($F$1)) - 0.25 * SIN(RADIANS($F$1))) * $E$1 + ($G$1 * TAN(RADIANS($I$1)))</f>
        <v>3.50582990712598</v>
      </c>
      <c r="E121" s="5" t="n">
        <f aca="false">(( -A121 - (-0.25) ) * COS(RADIANS($F$1)) - (B121 - 0) * SIN(RADIANS($F$1)) + (-0.25)) * $E$1 - ($G$1 * TAN(RADIANS($H$1))) - $J$1</f>
        <v>-1010.13588928205</v>
      </c>
    </row>
    <row r="122" customFormat="false" ht="15" hidden="false" customHeight="false" outlineLevel="0" collapsed="false">
      <c r="A122" s="5" t="n">
        <v>0.930985</v>
      </c>
      <c r="B122" s="5" t="n">
        <v>-0.010549</v>
      </c>
      <c r="C122" s="5" t="n">
        <f aca="false">$G$1</f>
        <v>207.300863086815</v>
      </c>
      <c r="D122" s="5" t="n">
        <f aca="false">(( -A122 - (-0.25) ) * SIN(RADIANS($F$1)) + (B122 - 0) * COS(RADIANS($F$1)) - 0.25 * SIN(RADIANS($F$1))) * $E$1 + ($G$1 * TAN(RADIANS($I$1)))</f>
        <v>3.8722626408025</v>
      </c>
      <c r="E122" s="5" t="n">
        <f aca="false">(( -A122 - (-0.25) ) * COS(RADIANS($F$1)) - (B122 - 0) * SIN(RADIANS($F$1)) + (-0.25)) * $E$1 - ($G$1 * TAN(RADIANS($H$1))) - $J$1</f>
        <v>-1012.37389919656</v>
      </c>
    </row>
    <row r="123" customFormat="false" ht="15" hidden="false" customHeight="false" outlineLevel="0" collapsed="false">
      <c r="A123" s="5" t="n">
        <v>0.942728</v>
      </c>
      <c r="B123" s="5" t="n">
        <v>-0.009022</v>
      </c>
      <c r="C123" s="5" t="n">
        <f aca="false">$G$1</f>
        <v>207.300863086815</v>
      </c>
      <c r="D123" s="5" t="n">
        <f aca="false">(( -A123 - (-0.25) ) * SIN(RADIANS($F$1)) + (B123 - 0) * COS(RADIANS($F$1)) - 0.25 * SIN(RADIANS($F$1))) * $E$1 + ($G$1 * TAN(RADIANS($I$1)))</f>
        <v>4.21380529427098</v>
      </c>
      <c r="E123" s="5" t="n">
        <f aca="false">(( -A123 - (-0.25) ) * COS(RADIANS($F$1)) - (B123 - 0) * SIN(RADIANS($F$1)) + (-0.25)) * $E$1 - ($G$1 * TAN(RADIANS($H$1))) - $J$1</f>
        <v>-1014.43500874911</v>
      </c>
    </row>
    <row r="124" customFormat="false" ht="15" hidden="false" customHeight="false" outlineLevel="0" collapsed="false">
      <c r="A124" s="5" t="n">
        <v>0.953437</v>
      </c>
      <c r="B124" s="5" t="n">
        <v>-0.007611</v>
      </c>
      <c r="C124" s="5" t="n">
        <f aca="false">$G$1</f>
        <v>207.300863086815</v>
      </c>
      <c r="D124" s="5" t="n">
        <f aca="false">(( -A124 - (-0.25) ) * SIN(RADIANS($F$1)) + (B124 - 0) * COS(RADIANS($F$1)) - 0.25 * SIN(RADIANS($F$1))) * $E$1 + ($G$1 * TAN(RADIANS($I$1)))</f>
        <v>4.52852843553456</v>
      </c>
      <c r="E124" s="5" t="n">
        <f aca="false">(( -A124 - (-0.25) ) * COS(RADIANS($F$1)) - (B124 - 0) * SIN(RADIANS($F$1)) + (-0.25)) * $E$1 - ($G$1 * TAN(RADIANS($H$1))) - $J$1</f>
        <v>-1016.31451890416</v>
      </c>
    </row>
    <row r="125" customFormat="false" ht="15" hidden="false" customHeight="false" outlineLevel="0" collapsed="false">
      <c r="A125" s="5" t="n">
        <v>0.963087</v>
      </c>
      <c r="B125" s="5" t="n">
        <v>-0.006324</v>
      </c>
      <c r="C125" s="5" t="n">
        <f aca="false">$G$1</f>
        <v>207.300863086815</v>
      </c>
      <c r="D125" s="5" t="n">
        <f aca="false">(( -A125 - (-0.25) ) * SIN(RADIANS($F$1)) + (B125 - 0) * COS(RADIANS($F$1)) - 0.25 * SIN(RADIANS($F$1))) * $E$1 + ($G$1 * TAN(RADIANS($I$1)))</f>
        <v>4.81486758455689</v>
      </c>
      <c r="E125" s="5" t="n">
        <f aca="false">(( -A125 - (-0.25) ) * COS(RADIANS($F$1)) - (B125 - 0) * SIN(RADIANS($F$1)) + (-0.25)) * $E$1 - ($G$1 * TAN(RADIANS($H$1))) - $J$1</f>
        <v>-1018.00807094943</v>
      </c>
    </row>
    <row r="126" customFormat="false" ht="15" hidden="false" customHeight="false" outlineLevel="0" collapsed="false">
      <c r="A126" s="5" t="n">
        <v>0.971656</v>
      </c>
      <c r="B126" s="5" t="n">
        <v>-0.005169</v>
      </c>
      <c r="C126" s="5" t="n">
        <f aca="false">$G$1</f>
        <v>207.300863086815</v>
      </c>
      <c r="D126" s="5" t="n">
        <f aca="false">(( -A126 - (-0.25) ) * SIN(RADIANS($F$1)) + (B126 - 0) * COS(RADIANS($F$1)) - 0.25 * SIN(RADIANS($F$1))) * $E$1 + ($G$1 * TAN(RADIANS($I$1)))</f>
        <v>5.07127673286535</v>
      </c>
      <c r="E126" s="5" t="n">
        <f aca="false">(( -A126 - (-0.25) ) * COS(RADIANS($F$1)) - (B126 - 0) * SIN(RADIANS($F$1)) + (-0.25)) * $E$1 - ($G$1 * TAN(RADIANS($H$1))) - $J$1</f>
        <v>-1019.51183512899</v>
      </c>
    </row>
    <row r="127" customFormat="false" ht="15" hidden="false" customHeight="false" outlineLevel="0" collapsed="false">
      <c r="A127" s="5" t="n">
        <v>0.979123</v>
      </c>
      <c r="B127" s="5" t="n">
        <v>-0.004152</v>
      </c>
      <c r="C127" s="5" t="n">
        <f aca="false">$G$1</f>
        <v>207.300863086815</v>
      </c>
      <c r="D127" s="5" t="n">
        <f aca="false">(( -A127 - (-0.25) ) * SIN(RADIANS($F$1)) + (B127 - 0) * COS(RADIANS($F$1)) - 0.25 * SIN(RADIANS($F$1))) * $E$1 + ($G$1 * TAN(RADIANS($I$1)))</f>
        <v>5.29656866675988</v>
      </c>
      <c r="E127" s="5" t="n">
        <f aca="false">(( -A127 - (-0.25) ) * COS(RADIANS($F$1)) - (B127 - 0) * SIN(RADIANS($F$1)) + (-0.25)) * $E$1 - ($G$1 * TAN(RADIANS($H$1))) - $J$1</f>
        <v>-1020.82214569131</v>
      </c>
    </row>
    <row r="128" customFormat="false" ht="15" hidden="false" customHeight="false" outlineLevel="0" collapsed="false">
      <c r="A128" s="5" t="n">
        <v>0.985471</v>
      </c>
      <c r="B128" s="5" t="n">
        <v>-0.00328</v>
      </c>
      <c r="C128" s="5" t="n">
        <f aca="false">$G$1</f>
        <v>207.300863086815</v>
      </c>
      <c r="D128" s="5" t="n">
        <f aca="false">(( -A128 - (-0.25) ) * SIN(RADIANS($F$1)) + (B128 - 0) * COS(RADIANS($F$1)) - 0.25 * SIN(RADIANS($F$1))) * $E$1 + ($G$1 * TAN(RADIANS($I$1)))</f>
        <v>5.48940448249972</v>
      </c>
      <c r="E128" s="5" t="n">
        <f aca="false">(( -A128 - (-0.25) ) * COS(RADIANS($F$1)) - (B128 - 0) * SIN(RADIANS($F$1)) + (-0.25)) * $E$1 - ($G$1 * TAN(RADIANS($H$1))) - $J$1</f>
        <v>-1021.93604831724</v>
      </c>
    </row>
    <row r="129" customFormat="false" ht="15" hidden="false" customHeight="false" outlineLevel="0" collapsed="false">
      <c r="A129" s="5" t="n">
        <v>0.990685</v>
      </c>
      <c r="B129" s="5" t="n">
        <v>-0.00256</v>
      </c>
      <c r="C129" s="5" t="n">
        <f aca="false">$G$1</f>
        <v>207.300863086815</v>
      </c>
      <c r="D129" s="5" t="n">
        <f aca="false">(( -A129 - (-0.25) ) * SIN(RADIANS($F$1)) + (B129 - 0) * COS(RADIANS($F$1)) - 0.25 * SIN(RADIANS($F$1))) * $E$1 + ($G$1 * TAN(RADIANS($I$1)))</f>
        <v>5.64845759071989</v>
      </c>
      <c r="E129" s="5" t="n">
        <f aca="false">(( -A129 - (-0.25) ) * COS(RADIANS($F$1)) - (B129 - 0) * SIN(RADIANS($F$1)) + (-0.25)) * $E$1 - ($G$1 * TAN(RADIANS($H$1))) - $J$1</f>
        <v>-1022.85094132522</v>
      </c>
    </row>
    <row r="130" customFormat="false" ht="15" hidden="false" customHeight="false" outlineLevel="0" collapsed="false">
      <c r="A130" s="5" t="n">
        <v>0.994753</v>
      </c>
      <c r="B130" s="5" t="n">
        <v>-0.001994</v>
      </c>
      <c r="C130" s="5" t="n">
        <f aca="false">$G$1</f>
        <v>207.300863086815</v>
      </c>
      <c r="D130" s="5" t="n">
        <f aca="false">(( -A130 - (-0.25) ) * SIN(RADIANS($F$1)) + (B130 - 0) * COS(RADIANS($F$1)) - 0.25 * SIN(RADIANS($F$1))) * $E$1 + ($G$1 * TAN(RADIANS($I$1)))</f>
        <v>5.77330146758087</v>
      </c>
      <c r="E130" s="5" t="n">
        <f aca="false">(( -A130 - (-0.25) ) * COS(RADIANS($F$1)) - (B130 - 0) * SIN(RADIANS($F$1)) + (-0.25)) * $E$1 - ($G$1 * TAN(RADIANS($H$1))) - $J$1</f>
        <v>-1023.56472120412</v>
      </c>
    </row>
    <row r="131" customFormat="false" ht="15" hidden="false" customHeight="false" outlineLevel="0" collapsed="false">
      <c r="A131" s="5" t="n">
        <v>0.997666</v>
      </c>
      <c r="B131" s="5" t="n">
        <v>-0.001587</v>
      </c>
      <c r="C131" s="5" t="n">
        <f aca="false">$G$1</f>
        <v>207.300863086815</v>
      </c>
      <c r="D131" s="5" t="n">
        <f aca="false">(( -A131 - (-0.25) ) * SIN(RADIANS($F$1)) + (B131 - 0) * COS(RADIANS($F$1)) - 0.25 * SIN(RADIANS($F$1))) * $E$1 + ($G$1 * TAN(RADIANS($I$1)))</f>
        <v>5.86299910442981</v>
      </c>
      <c r="E131" s="5" t="n">
        <f aca="false">(( -A131 - (-0.25) ) * COS(RADIANS($F$1)) - (B131 - 0) * SIN(RADIANS($F$1)) + (-0.25)) * $E$1 - ($G$1 * TAN(RADIANS($H$1))) - $J$1</f>
        <v>-1024.07583187073</v>
      </c>
    </row>
    <row r="132" customFormat="false" ht="15" hidden="false" customHeight="false" outlineLevel="0" collapsed="false">
      <c r="A132" s="5" t="n">
        <v>0.999416</v>
      </c>
      <c r="B132" s="5" t="n">
        <v>-0.001342</v>
      </c>
      <c r="C132" s="5" t="n">
        <f aca="false">$G$1</f>
        <v>207.300863086815</v>
      </c>
      <c r="D132" s="5" t="n">
        <f aca="false">(( -A132 - (-0.25) ) * SIN(RADIANS($F$1)) + (B132 - 0) * COS(RADIANS($F$1)) - 0.25 * SIN(RADIANS($F$1))) * $E$1 + ($G$1 * TAN(RADIANS($I$1)))</f>
        <v>5.91697228738643</v>
      </c>
      <c r="E132" s="5" t="n">
        <f aca="false">(( -A132 - (-0.25) ) * COS(RADIANS($F$1)) - (B132 - 0) * SIN(RADIANS($F$1)) + (-0.25)) * $E$1 - ($G$1 * TAN(RADIANS($H$1))) - $J$1</f>
        <v>-1024.38288124629</v>
      </c>
    </row>
    <row r="133" customFormat="false" ht="15" hidden="false" customHeight="false" outlineLevel="0" collapsed="false">
      <c r="A133" s="5" t="n">
        <v>1</v>
      </c>
      <c r="B133" s="6" t="n">
        <v>0</v>
      </c>
      <c r="C133" s="5" t="n">
        <f aca="false">$G$1</f>
        <v>207.300863086815</v>
      </c>
      <c r="D133" s="5" t="n">
        <f aca="false">(( -A133 - (-0.25) ) * SIN(RADIANS($F$1)) + (B133 - 0) * COS(RADIANS($F$1)) - 0.25 * SIN(RADIANS($F$1))) * $E$1 + ($G$1 * TAN(RADIANS($I$1)))</f>
        <v>6.15718790444588</v>
      </c>
      <c r="E133" s="5" t="n">
        <f aca="false">(( -A133 - (-0.25) ) * COS(RADIANS($F$1)) - (B133 - 0) * SIN(RADIANS($F$1)) + (-0.25)) * $E$1 - ($G$1 * TAN(RADIANS($H$1))) - $J$1</f>
        <v>-1024.47758847485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13"/>
    <col collapsed="false" customWidth="true" hidden="false" outlineLevel="0" max="11" min="6" style="0" width="17"/>
  </cols>
  <sheetData>
    <row r="1" customFormat="false" ht="15" hidden="false" customHeight="false" outlineLevel="0" collapsed="false">
      <c r="A1" s="1" t="s">
        <v>43</v>
      </c>
      <c r="E1" s="3" t="n">
        <v>175.784845883201</v>
      </c>
      <c r="F1" s="3" t="n">
        <v>0</v>
      </c>
      <c r="G1" s="3" t="n">
        <v>0</v>
      </c>
      <c r="H1" s="3" t="n">
        <v>16.7</v>
      </c>
      <c r="J1" s="3" t="n">
        <v>848.292282747392</v>
      </c>
      <c r="K1" s="3" t="n">
        <v>35.78915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J2" s="4" t="s">
        <v>39</v>
      </c>
      <c r="K2" s="4" t="s">
        <v>44</v>
      </c>
    </row>
    <row r="3" customFormat="false" ht="15" hidden="false" customHeight="false" outlineLevel="0" collapsed="false">
      <c r="A3" s="5" t="n">
        <v>1</v>
      </c>
      <c r="B3" s="6" t="n">
        <v>0</v>
      </c>
      <c r="C3" s="5" t="n">
        <f aca="false">B3*$E$1</f>
        <v>0</v>
      </c>
      <c r="D3" s="5" t="n">
        <f aca="false">$G$1+$K$1</f>
        <v>35.78915</v>
      </c>
      <c r="E3" s="5" t="n">
        <f aca="false">-A3*$E$1-($G$1*TAN(RADIANS($H$1)))-$J$1</f>
        <v>-1024.07712863059</v>
      </c>
      <c r="G3" s="4" t="s">
        <v>40</v>
      </c>
    </row>
    <row r="4" customFormat="false" ht="15" hidden="false" customHeight="false" outlineLevel="0" collapsed="false">
      <c r="A4" s="5" t="n">
        <v>0.999416</v>
      </c>
      <c r="B4" s="5" t="n">
        <v>0.001342</v>
      </c>
      <c r="C4" s="5" t="n">
        <f aca="false">B4*$E$1</f>
        <v>0.235903263175255</v>
      </c>
      <c r="D4" s="5" t="n">
        <f aca="false">$G$1+$K$1</f>
        <v>35.78915</v>
      </c>
      <c r="E4" s="5" t="n">
        <f aca="false">-A4*$E$1-($G$1*TAN(RADIANS($H$1)))-$J$1</f>
        <v>-1023.9744702806</v>
      </c>
      <c r="G4" s="4" t="s">
        <v>41</v>
      </c>
    </row>
    <row r="5" customFormat="false" ht="15" hidden="false" customHeight="false" outlineLevel="0" collapsed="false">
      <c r="A5" s="5" t="n">
        <v>0.997666</v>
      </c>
      <c r="B5" s="5" t="n">
        <v>0.001587</v>
      </c>
      <c r="C5" s="5" t="n">
        <f aca="false">B5*$E$1</f>
        <v>0.278970550416639</v>
      </c>
      <c r="D5" s="5" t="n">
        <f aca="false">$G$1+$K$1</f>
        <v>35.78915</v>
      </c>
      <c r="E5" s="5" t="n">
        <f aca="false">-A5*$E$1-($G$1*TAN(RADIANS($H$1)))-$J$1</f>
        <v>-1023.6668468003</v>
      </c>
    </row>
    <row r="6" customFormat="false" ht="15" hidden="false" customHeight="false" outlineLevel="0" collapsed="false">
      <c r="A6" s="5" t="n">
        <v>0.994753</v>
      </c>
      <c r="B6" s="5" t="n">
        <v>0.001994</v>
      </c>
      <c r="C6" s="5" t="n">
        <f aca="false">B6*$E$1</f>
        <v>0.350514982691102</v>
      </c>
      <c r="D6" s="5" t="n">
        <f aca="false">$G$1+$K$1</f>
        <v>35.78915</v>
      </c>
      <c r="E6" s="5" t="n">
        <f aca="false">-A6*$E$1-($G$1*TAN(RADIANS($H$1)))-$J$1</f>
        <v>-1023.15478554424</v>
      </c>
    </row>
    <row r="7" customFormat="false" ht="15" hidden="false" customHeight="false" outlineLevel="0" collapsed="false">
      <c r="A7" s="5" t="n">
        <v>0.990685</v>
      </c>
      <c r="B7" s="5" t="n">
        <v>0.00256</v>
      </c>
      <c r="C7" s="5" t="n">
        <f aca="false">B7*$E$1</f>
        <v>0.450009205460993</v>
      </c>
      <c r="D7" s="5" t="n">
        <f aca="false">$G$1+$K$1</f>
        <v>35.78915</v>
      </c>
      <c r="E7" s="5" t="n">
        <f aca="false">-A7*$E$1-($G$1*TAN(RADIANS($H$1)))-$J$1</f>
        <v>-1022.43969279119</v>
      </c>
    </row>
    <row r="8" customFormat="false" ht="15" hidden="false" customHeight="false" outlineLevel="0" collapsed="false">
      <c r="A8" s="5" t="n">
        <v>0.985471</v>
      </c>
      <c r="B8" s="5" t="n">
        <v>0.00328</v>
      </c>
      <c r="C8" s="5" t="n">
        <f aca="false">B8*$E$1</f>
        <v>0.576574294496898</v>
      </c>
      <c r="D8" s="5" t="n">
        <f aca="false">$G$1+$K$1</f>
        <v>35.78915</v>
      </c>
      <c r="E8" s="5" t="n">
        <f aca="false">-A8*$E$1-($G$1*TAN(RADIANS($H$1)))-$J$1</f>
        <v>-1021.52315060476</v>
      </c>
    </row>
    <row r="9" customFormat="false" ht="15" hidden="false" customHeight="false" outlineLevel="0" collapsed="false">
      <c r="A9" s="5" t="n">
        <v>0.979123</v>
      </c>
      <c r="B9" s="5" t="n">
        <v>0.004152</v>
      </c>
      <c r="C9" s="5" t="n">
        <f aca="false">B9*$E$1</f>
        <v>0.729858680107049</v>
      </c>
      <c r="D9" s="5" t="n">
        <f aca="false">$G$1+$K$1</f>
        <v>35.78915</v>
      </c>
      <c r="E9" s="5" t="n">
        <f aca="false">-A9*$E$1-($G$1*TAN(RADIANS($H$1)))-$J$1</f>
        <v>-1020.40726840309</v>
      </c>
    </row>
    <row r="10" customFormat="false" ht="15" hidden="false" customHeight="false" outlineLevel="0" collapsed="false">
      <c r="A10" s="5" t="n">
        <v>0.971656</v>
      </c>
      <c r="B10" s="5" t="n">
        <v>0.005169</v>
      </c>
      <c r="C10" s="5" t="n">
        <f aca="false">B10*$E$1</f>
        <v>0.908631868370263</v>
      </c>
      <c r="D10" s="5" t="n">
        <f aca="false">$G$1+$K$1</f>
        <v>35.78915</v>
      </c>
      <c r="E10" s="5" t="n">
        <f aca="false">-A10*$E$1-($G$1*TAN(RADIANS($H$1)))-$J$1</f>
        <v>-1019.09468295888</v>
      </c>
    </row>
    <row r="11" customFormat="false" ht="15" hidden="false" customHeight="false" outlineLevel="0" collapsed="false">
      <c r="A11" s="5" t="n">
        <v>0.963087</v>
      </c>
      <c r="B11" s="5" t="n">
        <v>0.006324</v>
      </c>
      <c r="C11" s="5" t="n">
        <f aca="false">B11*$E$1</f>
        <v>1.11166336536536</v>
      </c>
      <c r="D11" s="5" t="n">
        <f aca="false">$G$1+$K$1</f>
        <v>35.78915</v>
      </c>
      <c r="E11" s="5" t="n">
        <f aca="false">-A11*$E$1-($G$1*TAN(RADIANS($H$1)))-$J$1</f>
        <v>-1017.58838261451</v>
      </c>
    </row>
    <row r="12" customFormat="false" ht="15" hidden="false" customHeight="false" outlineLevel="0" collapsed="false">
      <c r="A12" s="5" t="n">
        <v>0.953437</v>
      </c>
      <c r="B12" s="5" t="n">
        <v>0.007611</v>
      </c>
      <c r="C12" s="5" t="n">
        <f aca="false">B12*$E$1</f>
        <v>1.33789846201704</v>
      </c>
      <c r="D12" s="5" t="n">
        <f aca="false">$G$1+$K$1</f>
        <v>35.78915</v>
      </c>
      <c r="E12" s="5" t="n">
        <f aca="false">-A12*$E$1-($G$1*TAN(RADIANS($H$1)))-$J$1</f>
        <v>-1015.89205885173</v>
      </c>
    </row>
    <row r="13" customFormat="false" ht="15" hidden="false" customHeight="false" outlineLevel="0" collapsed="false">
      <c r="A13" s="5" t="n">
        <v>0.942728</v>
      </c>
      <c r="B13" s="5" t="n">
        <v>0.009022</v>
      </c>
      <c r="C13" s="5" t="n">
        <f aca="false">B13*$E$1</f>
        <v>1.58593087955824</v>
      </c>
      <c r="D13" s="5" t="n">
        <f aca="false">$G$1+$K$1</f>
        <v>35.78915</v>
      </c>
      <c r="E13" s="5" t="n">
        <f aca="false">-A13*$E$1-($G$1*TAN(RADIANS($H$1)))-$J$1</f>
        <v>-1014.00957893717</v>
      </c>
    </row>
    <row r="14" customFormat="false" ht="15" hidden="false" customHeight="false" outlineLevel="0" collapsed="false">
      <c r="A14" s="5" t="n">
        <v>0.930985</v>
      </c>
      <c r="B14" s="5" t="n">
        <v>0.010549</v>
      </c>
      <c r="C14" s="5" t="n">
        <f aca="false">B14*$E$1</f>
        <v>1.85435433922188</v>
      </c>
      <c r="D14" s="5" t="n">
        <f aca="false">$G$1+$K$1</f>
        <v>35.78915</v>
      </c>
      <c r="E14" s="5" t="n">
        <f aca="false">-A14*$E$1-($G$1*TAN(RADIANS($H$1)))-$J$1</f>
        <v>-1011.94533749196</v>
      </c>
    </row>
    <row r="15" customFormat="false" ht="15" hidden="false" customHeight="false" outlineLevel="0" collapsed="false">
      <c r="A15" s="5" t="n">
        <v>0.918235</v>
      </c>
      <c r="B15" s="5" t="n">
        <v>0.012182</v>
      </c>
      <c r="C15" s="5" t="n">
        <f aca="false">B15*$E$1</f>
        <v>2.14141099254915</v>
      </c>
      <c r="D15" s="5" t="n">
        <f aca="false">$G$1+$K$1</f>
        <v>35.78915</v>
      </c>
      <c r="E15" s="5" t="n">
        <f aca="false">-A15*$E$1-($G$1*TAN(RADIANS($H$1)))-$J$1</f>
        <v>-1009.70408070695</v>
      </c>
    </row>
    <row r="16" customFormat="false" ht="15" hidden="false" customHeight="false" outlineLevel="0" collapsed="false">
      <c r="A16" s="5" t="n">
        <v>0.904509</v>
      </c>
      <c r="B16" s="5" t="n">
        <v>0.013914</v>
      </c>
      <c r="C16" s="5" t="n">
        <f aca="false">B16*$E$1</f>
        <v>2.44587034561885</v>
      </c>
      <c r="D16" s="5" t="n">
        <f aca="false">$G$1+$K$1</f>
        <v>35.78915</v>
      </c>
      <c r="E16" s="5" t="n">
        <f aca="false">-A16*$E$1-($G$1*TAN(RADIANS($H$1)))-$J$1</f>
        <v>-1007.29125791236</v>
      </c>
    </row>
    <row r="17" customFormat="false" ht="15" hidden="false" customHeight="false" outlineLevel="0" collapsed="false">
      <c r="A17" s="5" t="n">
        <v>0.889837</v>
      </c>
      <c r="B17" s="5" t="n">
        <v>0.015735</v>
      </c>
      <c r="C17" s="5" t="n">
        <f aca="false">B17*$E$1</f>
        <v>2.76597454997216</v>
      </c>
      <c r="D17" s="5" t="n">
        <f aca="false">$G$1+$K$1</f>
        <v>35.78915</v>
      </c>
      <c r="E17" s="5" t="n">
        <f aca="false">-A17*$E$1-($G$1*TAN(RADIANS($H$1)))-$J$1</f>
        <v>-1004.71214265356</v>
      </c>
    </row>
    <row r="18" customFormat="false" ht="15" hidden="false" customHeight="false" outlineLevel="0" collapsed="false">
      <c r="A18" s="5" t="n">
        <v>0.874255</v>
      </c>
      <c r="B18" s="5" t="n">
        <v>0.017635</v>
      </c>
      <c r="C18" s="5" t="n">
        <f aca="false">B18*$E$1</f>
        <v>3.09996575715024</v>
      </c>
      <c r="D18" s="5" t="n">
        <f aca="false">$G$1+$K$1</f>
        <v>35.78915</v>
      </c>
      <c r="E18" s="5" t="n">
        <f aca="false">-A18*$E$1-($G$1*TAN(RADIANS($H$1)))-$J$1</f>
        <v>-1001.97306318501</v>
      </c>
    </row>
    <row r="19" customFormat="false" ht="15" hidden="false" customHeight="false" outlineLevel="0" collapsed="false">
      <c r="A19" s="5" t="n">
        <v>0.8578</v>
      </c>
      <c r="B19" s="5" t="n">
        <v>0.019605</v>
      </c>
      <c r="C19" s="5" t="n">
        <f aca="false">B19*$E$1</f>
        <v>3.44626190354015</v>
      </c>
      <c r="D19" s="5" t="n">
        <f aca="false">$G$1+$K$1</f>
        <v>35.78915</v>
      </c>
      <c r="E19" s="5" t="n">
        <f aca="false">-A19*$E$1-($G$1*TAN(RADIANS($H$1)))-$J$1</f>
        <v>-999.080523546002</v>
      </c>
    </row>
    <row r="20" customFormat="false" ht="15" hidden="false" customHeight="false" outlineLevel="0" collapsed="false">
      <c r="A20" s="5" t="n">
        <v>0.840508</v>
      </c>
      <c r="B20" s="5" t="n">
        <v>0.021635</v>
      </c>
      <c r="C20" s="5" t="n">
        <f aca="false">B20*$E$1</f>
        <v>3.80310514068304</v>
      </c>
      <c r="D20" s="5" t="n">
        <f aca="false">$G$1+$K$1</f>
        <v>35.78915</v>
      </c>
      <c r="E20" s="5" t="n">
        <f aca="false">-A20*$E$1-($G$1*TAN(RADIANS($H$1)))-$J$1</f>
        <v>-996.040851990989</v>
      </c>
    </row>
    <row r="21" customFormat="false" ht="15" hidden="false" customHeight="false" outlineLevel="0" collapsed="false">
      <c r="A21" s="5" t="n">
        <v>0.822421</v>
      </c>
      <c r="B21" s="5" t="n">
        <v>0.023714</v>
      </c>
      <c r="C21" s="5" t="n">
        <f aca="false">B21*$E$1</f>
        <v>4.16856183527422</v>
      </c>
      <c r="D21" s="5" t="n">
        <f aca="false">$G$1+$K$1</f>
        <v>35.78915</v>
      </c>
      <c r="E21" s="5" t="n">
        <f aca="false">-A21*$E$1-($G$1*TAN(RADIANS($H$1)))-$J$1</f>
        <v>-992.8614314835</v>
      </c>
    </row>
    <row r="22" customFormat="false" ht="15" hidden="false" customHeight="false" outlineLevel="0" collapsed="false">
      <c r="A22" s="5" t="n">
        <v>0.803581</v>
      </c>
      <c r="B22" s="5" t="n">
        <v>0.025834</v>
      </c>
      <c r="C22" s="5" t="n">
        <f aca="false">B22*$E$1</f>
        <v>4.5412257085466</v>
      </c>
      <c r="D22" s="5" t="n">
        <f aca="false">$G$1+$K$1</f>
        <v>35.78915</v>
      </c>
      <c r="E22" s="5" t="n">
        <f aca="false">-A22*$E$1-($G$1*TAN(RADIANS($H$1)))-$J$1</f>
        <v>-989.54964498706</v>
      </c>
    </row>
    <row r="23" customFormat="false" ht="15" hidden="false" customHeight="false" outlineLevel="0" collapsed="false">
      <c r="A23" s="5" t="n">
        <v>0.784032</v>
      </c>
      <c r="B23" s="5" t="n">
        <v>0.027983</v>
      </c>
      <c r="C23" s="5" t="n">
        <f aca="false">B23*$E$1</f>
        <v>4.9189873423496</v>
      </c>
      <c r="D23" s="5" t="n">
        <f aca="false">$G$1+$K$1</f>
        <v>35.78915</v>
      </c>
      <c r="E23" s="5" t="n">
        <f aca="false">-A23*$E$1-($G$1*TAN(RADIANS($H$1)))-$J$1</f>
        <v>-986.11322703489</v>
      </c>
    </row>
    <row r="24" customFormat="false" ht="15" hidden="false" customHeight="false" outlineLevel="0" collapsed="false">
      <c r="A24" s="5" t="n">
        <v>0.76382</v>
      </c>
      <c r="B24" s="5" t="n">
        <v>0.030152</v>
      </c>
      <c r="C24" s="5" t="n">
        <f aca="false">B24*$E$1</f>
        <v>5.30026467307026</v>
      </c>
      <c r="D24" s="5" t="n">
        <f aca="false">$G$1+$K$1</f>
        <v>35.78915</v>
      </c>
      <c r="E24" s="5" t="n">
        <f aca="false">-A24*$E$1-($G$1*TAN(RADIANS($H$1)))-$J$1</f>
        <v>-982.560263729898</v>
      </c>
    </row>
    <row r="25" customFormat="false" ht="15" hidden="false" customHeight="false" outlineLevel="0" collapsed="false">
      <c r="A25" s="5" t="n">
        <v>0.742992</v>
      </c>
      <c r="B25" s="5" t="n">
        <v>0.032329</v>
      </c>
      <c r="C25" s="5" t="n">
        <f aca="false">B25*$E$1</f>
        <v>5.68294828255799</v>
      </c>
      <c r="D25" s="5" t="n">
        <f aca="false">$G$1+$K$1</f>
        <v>35.78915</v>
      </c>
      <c r="E25" s="5" t="n">
        <f aca="false">-A25*$E$1-($G$1*TAN(RADIANS($H$1)))-$J$1</f>
        <v>-978.899016959843</v>
      </c>
    </row>
    <row r="26" customFormat="false" ht="15" hidden="false" customHeight="false" outlineLevel="0" collapsed="false">
      <c r="A26" s="5" t="n">
        <v>0.721596</v>
      </c>
      <c r="B26" s="5" t="n">
        <v>0.034506</v>
      </c>
      <c r="C26" s="5" t="n">
        <f aca="false">B26*$E$1</f>
        <v>6.06563189204572</v>
      </c>
      <c r="D26" s="5" t="n">
        <f aca="false">$G$1+$K$1</f>
        <v>35.78915</v>
      </c>
      <c r="E26" s="5" t="n">
        <f aca="false">-A26*$E$1-($G$1*TAN(RADIANS($H$1)))-$J$1</f>
        <v>-975.137924397326</v>
      </c>
    </row>
    <row r="27" customFormat="false" ht="15" hidden="false" customHeight="false" outlineLevel="0" collapsed="false">
      <c r="A27" s="5" t="n">
        <v>0.699682</v>
      </c>
      <c r="B27" s="5" t="n">
        <v>0.03667</v>
      </c>
      <c r="C27" s="5" t="n">
        <f aca="false">B27*$E$1</f>
        <v>6.44603029853696</v>
      </c>
      <c r="D27" s="5" t="n">
        <f aca="false">$G$1+$K$1</f>
        <v>35.78915</v>
      </c>
      <c r="E27" s="5" t="n">
        <f aca="false">-A27*$E$1-($G$1*TAN(RADIANS($H$1)))-$J$1</f>
        <v>-971.285775284642</v>
      </c>
    </row>
    <row r="28" customFormat="false" ht="15" hidden="false" customHeight="false" outlineLevel="0" collapsed="false">
      <c r="A28" s="5" t="n">
        <v>0.677303</v>
      </c>
      <c r="B28" s="5" t="n">
        <v>0.038811</v>
      </c>
      <c r="C28" s="5" t="n">
        <f aca="false">B28*$E$1</f>
        <v>6.82238565357289</v>
      </c>
      <c r="D28" s="5" t="n">
        <f aca="false">$G$1+$K$1</f>
        <v>35.78915</v>
      </c>
      <c r="E28" s="5" t="n">
        <f aca="false">-A28*$E$1-($G$1*TAN(RADIANS($H$1)))-$J$1</f>
        <v>-967.351886218621</v>
      </c>
    </row>
    <row r="29" customFormat="false" ht="15" hidden="false" customHeight="false" outlineLevel="0" collapsed="false">
      <c r="A29" s="5" t="n">
        <v>0.654509</v>
      </c>
      <c r="B29" s="5" t="n">
        <v>0.040917</v>
      </c>
      <c r="C29" s="5" t="n">
        <f aca="false">B29*$E$1</f>
        <v>7.19258853900292</v>
      </c>
      <c r="D29" s="5" t="n">
        <f aca="false">$G$1+$K$1</f>
        <v>35.78915</v>
      </c>
      <c r="E29" s="5" t="n">
        <f aca="false">-A29*$E$1-($G$1*TAN(RADIANS($H$1)))-$J$1</f>
        <v>-963.34504644156</v>
      </c>
    </row>
    <row r="30" customFormat="false" ht="15" hidden="false" customHeight="false" outlineLevel="0" collapsed="false">
      <c r="A30" s="5" t="n">
        <v>0.631354</v>
      </c>
      <c r="B30" s="5" t="n">
        <v>0.042978</v>
      </c>
      <c r="C30" s="5" t="n">
        <f aca="false">B30*$E$1</f>
        <v>7.55488110636819</v>
      </c>
      <c r="D30" s="5" t="n">
        <f aca="false">$G$1+$K$1</f>
        <v>35.78915</v>
      </c>
      <c r="E30" s="5" t="n">
        <f aca="false">-A30*$E$1-($G$1*TAN(RADIANS($H$1)))-$J$1</f>
        <v>-959.274748335134</v>
      </c>
    </row>
    <row r="31" customFormat="false" ht="15" hidden="false" customHeight="false" outlineLevel="0" collapsed="false">
      <c r="A31" s="5" t="n">
        <v>0.607892</v>
      </c>
      <c r="B31" s="5" t="n">
        <v>0.04498</v>
      </c>
      <c r="C31" s="5" t="n">
        <f aca="false">B31*$E$1</f>
        <v>7.90680236782636</v>
      </c>
      <c r="D31" s="5" t="n">
        <f aca="false">$G$1+$K$1</f>
        <v>35.78915</v>
      </c>
      <c r="E31" s="5" t="n">
        <f aca="false">-A31*$E$1-($G$1*TAN(RADIANS($H$1)))-$J$1</f>
        <v>-955.150484281023</v>
      </c>
    </row>
    <row r="32" customFormat="false" ht="15" hidden="false" customHeight="false" outlineLevel="0" collapsed="false">
      <c r="A32" s="5" t="n">
        <v>0.584179</v>
      </c>
      <c r="B32" s="5" t="n">
        <v>0.046912</v>
      </c>
      <c r="C32" s="5" t="n">
        <f aca="false">B32*$E$1</f>
        <v>8.2464186900727</v>
      </c>
      <c r="D32" s="5" t="n">
        <f aca="false">$G$1+$K$1</f>
        <v>35.78915</v>
      </c>
      <c r="E32" s="5" t="n">
        <f aca="false">-A32*$E$1-($G$1*TAN(RADIANS($H$1)))-$J$1</f>
        <v>-950.982098230594</v>
      </c>
    </row>
    <row r="33" customFormat="false" ht="15" hidden="false" customHeight="false" outlineLevel="0" collapsed="false">
      <c r="A33" s="5" t="n">
        <v>0.560268</v>
      </c>
      <c r="B33" s="5" t="n">
        <v>0.048762</v>
      </c>
      <c r="C33" s="5" t="n">
        <f aca="false">B33*$E$1</f>
        <v>8.57162065495662</v>
      </c>
      <c r="D33" s="5" t="n">
        <f aca="false">$G$1+$K$1</f>
        <v>35.78915</v>
      </c>
      <c r="E33" s="5" t="n">
        <f aca="false">-A33*$E$1-($G$1*TAN(RADIANS($H$1)))-$J$1</f>
        <v>-946.778906780681</v>
      </c>
    </row>
    <row r="34" customFormat="false" ht="15" hidden="false" customHeight="false" outlineLevel="0" collapsed="false">
      <c r="A34" s="5" t="n">
        <v>0.536217</v>
      </c>
      <c r="B34" s="5" t="n">
        <v>0.050516</v>
      </c>
      <c r="C34" s="5" t="n">
        <f aca="false">B34*$E$1</f>
        <v>8.87994727463576</v>
      </c>
      <c r="D34" s="5" t="n">
        <f aca="false">$G$1+$K$1</f>
        <v>35.78915</v>
      </c>
      <c r="E34" s="5" t="n">
        <f aca="false">-A34*$E$1-($G$1*TAN(RADIANS($H$1)))-$J$1</f>
        <v>-942.551105452344</v>
      </c>
    </row>
    <row r="35" customFormat="false" ht="15" hidden="false" customHeight="false" outlineLevel="0" collapsed="false">
      <c r="A35" s="5" t="n">
        <v>0.512082</v>
      </c>
      <c r="B35" s="5" t="n">
        <v>0.052162</v>
      </c>
      <c r="C35" s="5" t="n">
        <f aca="false">B35*$E$1</f>
        <v>9.1692891309595</v>
      </c>
      <c r="D35" s="5" t="n">
        <f aca="false">$G$1+$K$1</f>
        <v>35.78915</v>
      </c>
      <c r="E35" s="5" t="n">
        <f aca="false">-A35*$E$1-($G$1*TAN(RADIANS($H$1)))-$J$1</f>
        <v>-938.308538196953</v>
      </c>
    </row>
    <row r="36" customFormat="false" ht="15" hidden="false" customHeight="false" outlineLevel="0" collapsed="false">
      <c r="A36" s="5" t="n">
        <v>0.487918</v>
      </c>
      <c r="B36" s="5" t="n">
        <v>0.053687</v>
      </c>
      <c r="C36" s="5" t="n">
        <f aca="false">B36*$E$1</f>
        <v>9.43736102093138</v>
      </c>
      <c r="D36" s="5" t="n">
        <f aca="false">$G$1+$K$1</f>
        <v>35.78915</v>
      </c>
      <c r="E36" s="5" t="n">
        <f aca="false">-A36*$E$1-($G$1*TAN(RADIANS($H$1)))-$J$1</f>
        <v>-934.060873181031</v>
      </c>
    </row>
    <row r="37" customFormat="false" ht="15" hidden="false" customHeight="false" outlineLevel="0" collapsed="false">
      <c r="A37" s="5" t="n">
        <v>0.463783</v>
      </c>
      <c r="B37" s="5" t="n">
        <v>0.055077</v>
      </c>
      <c r="C37" s="5" t="n">
        <f aca="false">B37*$E$1</f>
        <v>9.68170195670903</v>
      </c>
      <c r="D37" s="5" t="n">
        <f aca="false">$G$1+$K$1</f>
        <v>35.78915</v>
      </c>
      <c r="E37" s="5" t="n">
        <f aca="false">-A37*$E$1-($G$1*TAN(RADIANS($H$1)))-$J$1</f>
        <v>-929.81830592564</v>
      </c>
    </row>
    <row r="38" customFormat="false" ht="15" hidden="false" customHeight="false" outlineLevel="0" collapsed="false">
      <c r="A38" s="5" t="n">
        <v>0.439732</v>
      </c>
      <c r="B38" s="5" t="n">
        <v>0.05632</v>
      </c>
      <c r="C38" s="5" t="n">
        <f aca="false">B38*$E$1</f>
        <v>9.90020252014185</v>
      </c>
      <c r="D38" s="5" t="n">
        <f aca="false">$G$1+$K$1</f>
        <v>35.78915</v>
      </c>
      <c r="E38" s="5" t="n">
        <f aca="false">-A38*$E$1-($G$1*TAN(RADIANS($H$1)))-$J$1</f>
        <v>-925.590504597304</v>
      </c>
    </row>
    <row r="39" customFormat="false" ht="15" hidden="false" customHeight="false" outlineLevel="0" collapsed="false">
      <c r="A39" s="5" t="n">
        <v>0.415822</v>
      </c>
      <c r="B39" s="5" t="n">
        <v>0.057403</v>
      </c>
      <c r="C39" s="5" t="n">
        <f aca="false">B39*$E$1</f>
        <v>10.0905775082334</v>
      </c>
      <c r="D39" s="5" t="n">
        <f aca="false">$G$1+$K$1</f>
        <v>35.78915</v>
      </c>
      <c r="E39" s="5" t="n">
        <f aca="false">-A39*$E$1-($G$1*TAN(RADIANS($H$1)))-$J$1</f>
        <v>-921.387488932236</v>
      </c>
    </row>
    <row r="40" customFormat="false" ht="15" hidden="false" customHeight="false" outlineLevel="0" collapsed="false">
      <c r="A40" s="5" t="n">
        <v>0.392108</v>
      </c>
      <c r="B40" s="5" t="n">
        <v>0.058314</v>
      </c>
      <c r="C40" s="5" t="n">
        <f aca="false">B40*$E$1</f>
        <v>10.250717502833</v>
      </c>
      <c r="D40" s="5" t="n">
        <f aca="false">$G$1+$K$1</f>
        <v>35.78915</v>
      </c>
      <c r="E40" s="5" t="n">
        <f aca="false">-A40*$E$1-($G$1*TAN(RADIANS($H$1)))-$J$1</f>
        <v>-917.218927096962</v>
      </c>
    </row>
    <row r="41" customFormat="false" ht="15" hidden="false" customHeight="false" outlineLevel="0" collapsed="false">
      <c r="A41" s="5" t="n">
        <v>0.368646</v>
      </c>
      <c r="B41" s="5" t="n">
        <v>0.059042</v>
      </c>
      <c r="C41" s="5" t="n">
        <f aca="false">B41*$E$1</f>
        <v>10.3786888706359</v>
      </c>
      <c r="D41" s="5" t="n">
        <f aca="false">$G$1+$K$1</f>
        <v>35.78915</v>
      </c>
      <c r="E41" s="5" t="n">
        <f aca="false">-A41*$E$1-($G$1*TAN(RADIANS($H$1)))-$J$1</f>
        <v>-913.09466304285</v>
      </c>
    </row>
    <row r="42" customFormat="false" ht="15" hidden="false" customHeight="false" outlineLevel="0" collapsed="false">
      <c r="A42" s="5" t="n">
        <v>0.345492</v>
      </c>
      <c r="B42" s="5" t="n">
        <v>0.059575</v>
      </c>
      <c r="C42" s="5" t="n">
        <f aca="false">B42*$E$1</f>
        <v>10.4723821934917</v>
      </c>
      <c r="D42" s="5" t="n">
        <f aca="false">$G$1+$K$1</f>
        <v>35.78915</v>
      </c>
      <c r="E42" s="5" t="n">
        <f aca="false">-A42*$E$1-($G$1*TAN(RADIANS($H$1)))-$J$1</f>
        <v>-909.024540721271</v>
      </c>
    </row>
    <row r="43" customFormat="false" ht="15" hidden="false" customHeight="false" outlineLevel="0" collapsed="false">
      <c r="A43" s="5" t="n">
        <v>0.322698</v>
      </c>
      <c r="B43" s="5" t="n">
        <v>0.059903</v>
      </c>
      <c r="C43" s="5" t="n">
        <f aca="false">B43*$E$1</f>
        <v>10.5300396229414</v>
      </c>
      <c r="D43" s="5" t="n">
        <f aca="false">$G$1+$K$1</f>
        <v>35.78915</v>
      </c>
      <c r="E43" s="5" t="n">
        <f aca="false">-A43*$E$1-($G$1*TAN(RADIANS($H$1)))-$J$1</f>
        <v>-905.017700944209</v>
      </c>
    </row>
    <row r="44" customFormat="false" ht="15" hidden="false" customHeight="false" outlineLevel="0" collapsed="false">
      <c r="A44" s="5" t="n">
        <v>0.300318</v>
      </c>
      <c r="B44" s="5" t="n">
        <v>0.060017</v>
      </c>
      <c r="C44" s="5" t="n">
        <f aca="false">B44*$E$1</f>
        <v>10.550079095372</v>
      </c>
      <c r="D44" s="5" t="n">
        <f aca="false">$G$1+$K$1</f>
        <v>35.78915</v>
      </c>
      <c r="E44" s="5" t="n">
        <f aca="false">-A44*$E$1-($G$1*TAN(RADIANS($H$1)))-$J$1</f>
        <v>-901.083636093343</v>
      </c>
    </row>
    <row r="45" customFormat="false" ht="15" hidden="false" customHeight="false" outlineLevel="0" collapsed="false">
      <c r="A45" s="5" t="n">
        <v>0.278404</v>
      </c>
      <c r="B45" s="5" t="n">
        <v>0.05991</v>
      </c>
      <c r="C45" s="5" t="n">
        <f aca="false">B45*$E$1</f>
        <v>10.5312701168625</v>
      </c>
      <c r="D45" s="5" t="n">
        <f aca="false">$G$1+$K$1</f>
        <v>35.78915</v>
      </c>
      <c r="E45" s="5" t="n">
        <f aca="false">-A45*$E$1-($G$1*TAN(RADIANS($H$1)))-$J$1</f>
        <v>-897.231486980659</v>
      </c>
    </row>
    <row r="46" customFormat="false" ht="15" hidden="false" customHeight="false" outlineLevel="0" collapsed="false">
      <c r="A46" s="5" t="n">
        <v>0.257008</v>
      </c>
      <c r="B46" s="5" t="n">
        <v>0.059576</v>
      </c>
      <c r="C46" s="5" t="n">
        <f aca="false">B46*$E$1</f>
        <v>10.4725579783376</v>
      </c>
      <c r="D46" s="5" t="n">
        <f aca="false">$G$1+$K$1</f>
        <v>35.78915</v>
      </c>
      <c r="E46" s="5" t="n">
        <f aca="false">-A46*$E$1-($G$1*TAN(RADIANS($H$1)))-$J$1</f>
        <v>-893.470394418142</v>
      </c>
    </row>
    <row r="47" customFormat="false" ht="15" hidden="false" customHeight="false" outlineLevel="0" collapsed="false">
      <c r="A47" s="5" t="n">
        <v>0.23618</v>
      </c>
      <c r="B47" s="5" t="n">
        <v>0.059008</v>
      </c>
      <c r="C47" s="5" t="n">
        <f aca="false">B47*$E$1</f>
        <v>10.3727121858759</v>
      </c>
      <c r="D47" s="5" t="n">
        <f aca="false">$G$1+$K$1</f>
        <v>35.78915</v>
      </c>
      <c r="E47" s="5" t="n">
        <f aca="false">-A47*$E$1-($G$1*TAN(RADIANS($H$1)))-$J$1</f>
        <v>-889.809147648086</v>
      </c>
    </row>
    <row r="48" customFormat="false" ht="15" hidden="false" customHeight="false" outlineLevel="0" collapsed="false">
      <c r="A48" s="5" t="n">
        <v>0.215968</v>
      </c>
      <c r="B48" s="5" t="n">
        <v>0.058205</v>
      </c>
      <c r="C48" s="5" t="n">
        <f aca="false">B48*$E$1</f>
        <v>10.2315569546317</v>
      </c>
      <c r="D48" s="5" t="n">
        <f aca="false">$G$1+$K$1</f>
        <v>35.78915</v>
      </c>
      <c r="E48" s="5" t="n">
        <f aca="false">-A48*$E$1-($G$1*TAN(RADIANS($H$1)))-$J$1</f>
        <v>-886.256184343095</v>
      </c>
    </row>
    <row r="49" customFormat="false" ht="15" hidden="false" customHeight="false" outlineLevel="0" collapsed="false">
      <c r="A49" s="5" t="n">
        <v>0.196419</v>
      </c>
      <c r="B49" s="5" t="n">
        <v>0.057164</v>
      </c>
      <c r="C49" s="5" t="n">
        <f aca="false">B49*$E$1</f>
        <v>10.0485649300673</v>
      </c>
      <c r="D49" s="5" t="n">
        <f aca="false">$G$1+$K$1</f>
        <v>35.78915</v>
      </c>
      <c r="E49" s="5" t="n">
        <f aca="false">-A49*$E$1-($G$1*TAN(RADIANS($H$1)))-$J$1</f>
        <v>-882.819766390924</v>
      </c>
    </row>
    <row r="50" customFormat="false" ht="15" hidden="false" customHeight="false" outlineLevel="0" collapsed="false">
      <c r="A50" s="5" t="n">
        <v>0.177579</v>
      </c>
      <c r="B50" s="5" t="n">
        <v>0.055886</v>
      </c>
      <c r="C50" s="5" t="n">
        <f aca="false">B50*$E$1</f>
        <v>9.82391189702854</v>
      </c>
      <c r="D50" s="5" t="n">
        <f aca="false">$G$1+$K$1</f>
        <v>35.78915</v>
      </c>
      <c r="E50" s="5" t="n">
        <f aca="false">-A50*$E$1-($G$1*TAN(RADIANS($H$1)))-$J$1</f>
        <v>-879.507979894485</v>
      </c>
    </row>
    <row r="51" customFormat="false" ht="15" hidden="false" customHeight="false" outlineLevel="0" collapsed="false">
      <c r="A51" s="5" t="n">
        <v>0.159492</v>
      </c>
      <c r="B51" s="5" t="n">
        <v>0.054372</v>
      </c>
      <c r="C51" s="5" t="n">
        <f aca="false">B51*$E$1</f>
        <v>9.55777364036138</v>
      </c>
      <c r="D51" s="5" t="n">
        <f aca="false">$G$1+$K$1</f>
        <v>35.78915</v>
      </c>
      <c r="E51" s="5" t="n">
        <f aca="false">-A51*$E$1-($G$1*TAN(RADIANS($H$1)))-$J$1</f>
        <v>-876.328559386996</v>
      </c>
    </row>
    <row r="52" customFormat="false" ht="15" hidden="false" customHeight="false" outlineLevel="0" collapsed="false">
      <c r="A52" s="5" t="n">
        <v>0.142201</v>
      </c>
      <c r="B52" s="5" t="n">
        <v>0.052625</v>
      </c>
      <c r="C52" s="5" t="n">
        <f aca="false">B52*$E$1</f>
        <v>9.25067751460343</v>
      </c>
      <c r="D52" s="5" t="n">
        <f aca="false">$G$1+$K$1</f>
        <v>35.78915</v>
      </c>
      <c r="E52" s="5" t="n">
        <f aca="false">-A52*$E$1-($G$1*TAN(RADIANS($H$1)))-$J$1</f>
        <v>-873.289063616829</v>
      </c>
    </row>
    <row r="53" customFormat="false" ht="15" hidden="false" customHeight="false" outlineLevel="0" collapsed="false">
      <c r="A53" s="5" t="n">
        <v>0.125745</v>
      </c>
      <c r="B53" s="5" t="n">
        <v>0.050651</v>
      </c>
      <c r="C53" s="5" t="n">
        <f aca="false">B53*$E$1</f>
        <v>8.90367822882999</v>
      </c>
      <c r="D53" s="5" t="n">
        <f aca="false">$G$1+$K$1</f>
        <v>35.78915</v>
      </c>
      <c r="E53" s="5" t="n">
        <f aca="false">-A53*$E$1-($G$1*TAN(RADIANS($H$1)))-$J$1</f>
        <v>-870.396348192975</v>
      </c>
    </row>
    <row r="54" customFormat="false" ht="15" hidden="false" customHeight="false" outlineLevel="0" collapsed="false">
      <c r="A54" s="5" t="n">
        <v>0.110163</v>
      </c>
      <c r="B54" s="5" t="n">
        <v>0.048457</v>
      </c>
      <c r="C54" s="5" t="n">
        <f aca="false">B54*$E$1</f>
        <v>8.51800627696225</v>
      </c>
      <c r="D54" s="5" t="n">
        <f aca="false">$G$1+$K$1</f>
        <v>35.78915</v>
      </c>
      <c r="E54" s="5" t="n">
        <f aca="false">-A54*$E$1-($G$1*TAN(RADIANS($H$1)))-$J$1</f>
        <v>-867.657268724423</v>
      </c>
    </row>
    <row r="55" customFormat="false" ht="15" hidden="false" customHeight="false" outlineLevel="0" collapsed="false">
      <c r="A55" s="5" t="n">
        <v>0.095492</v>
      </c>
      <c r="B55" s="5" t="n">
        <v>0.046049</v>
      </c>
      <c r="C55" s="5" t="n">
        <f aca="false">B55*$E$1</f>
        <v>8.0947163680755</v>
      </c>
      <c r="D55" s="5" t="n">
        <f aca="false">$G$1+$K$1</f>
        <v>35.78915</v>
      </c>
      <c r="E55" s="5" t="n">
        <f aca="false">-A55*$E$1-($G$1*TAN(RADIANS($H$1)))-$J$1</f>
        <v>-865.078329250471</v>
      </c>
    </row>
    <row r="56" customFormat="false" ht="15" hidden="false" customHeight="false" outlineLevel="0" collapsed="false">
      <c r="A56" s="5" t="n">
        <v>0.081765</v>
      </c>
      <c r="B56" s="5" t="n">
        <v>0.043437</v>
      </c>
      <c r="C56" s="5" t="n">
        <f aca="false">B56*$E$1</f>
        <v>7.63556635062858</v>
      </c>
      <c r="D56" s="5" t="n">
        <f aca="false">$G$1+$K$1</f>
        <v>35.78915</v>
      </c>
      <c r="E56" s="5" t="n">
        <f aca="false">-A56*$E$1-($G$1*TAN(RADIANS($H$1)))-$J$1</f>
        <v>-862.665330671032</v>
      </c>
    </row>
    <row r="57" customFormat="false" ht="15" hidden="false" customHeight="false" outlineLevel="0" collapsed="false">
      <c r="A57" s="5" t="n">
        <v>0.069015</v>
      </c>
      <c r="B57" s="5" t="n">
        <v>0.040631</v>
      </c>
      <c r="C57" s="5" t="n">
        <f aca="false">B57*$E$1</f>
        <v>7.14231407308032</v>
      </c>
      <c r="D57" s="5" t="n">
        <f aca="false">$G$1+$K$1</f>
        <v>35.78915</v>
      </c>
      <c r="E57" s="5" t="n">
        <f aca="false">-A57*$E$1-($G$1*TAN(RADIANS($H$1)))-$J$1</f>
        <v>-860.424073886021</v>
      </c>
    </row>
    <row r="58" customFormat="false" ht="15" hidden="false" customHeight="false" outlineLevel="0" collapsed="false">
      <c r="A58" s="5" t="n">
        <v>0.057272</v>
      </c>
      <c r="B58" s="5" t="n">
        <v>0.037641</v>
      </c>
      <c r="C58" s="5" t="n">
        <f aca="false">B58*$E$1</f>
        <v>6.61671738388955</v>
      </c>
      <c r="D58" s="5" t="n">
        <f aca="false">$G$1+$K$1</f>
        <v>35.78915</v>
      </c>
      <c r="E58" s="5" t="n">
        <f aca="false">-A58*$E$1-($G$1*TAN(RADIANS($H$1)))-$J$1</f>
        <v>-858.359832440815</v>
      </c>
    </row>
    <row r="59" customFormat="false" ht="15" hidden="false" customHeight="false" outlineLevel="0" collapsed="false">
      <c r="A59" s="5" t="n">
        <v>0.046563</v>
      </c>
      <c r="B59" s="5" t="n">
        <v>0.034479</v>
      </c>
      <c r="C59" s="5" t="n">
        <f aca="false">B59*$E$1</f>
        <v>6.06088570120687</v>
      </c>
      <c r="D59" s="5" t="n">
        <f aca="false">$G$1+$K$1</f>
        <v>35.78915</v>
      </c>
      <c r="E59" s="5" t="n">
        <f aca="false">-A59*$E$1-($G$1*TAN(RADIANS($H$1)))-$J$1</f>
        <v>-856.477352526252</v>
      </c>
    </row>
    <row r="60" customFormat="false" ht="15" hidden="false" customHeight="false" outlineLevel="0" collapsed="false">
      <c r="A60" s="5" t="n">
        <v>0.036913</v>
      </c>
      <c r="B60" s="5" t="n">
        <v>0.031156</v>
      </c>
      <c r="C60" s="5" t="n">
        <f aca="false">B60*$E$1</f>
        <v>5.47675265833699</v>
      </c>
      <c r="D60" s="5" t="n">
        <f aca="false">$G$1+$K$1</f>
        <v>35.78915</v>
      </c>
      <c r="E60" s="5" t="n">
        <f aca="false">-A60*$E$1-($G$1*TAN(RADIANS($H$1)))-$J$1</f>
        <v>-854.781028763479</v>
      </c>
    </row>
    <row r="61" customFormat="false" ht="15" hidden="false" customHeight="false" outlineLevel="0" collapsed="false">
      <c r="A61" s="5" t="n">
        <v>0.028344</v>
      </c>
      <c r="B61" s="5" t="n">
        <v>0.027683</v>
      </c>
      <c r="C61" s="5" t="n">
        <f aca="false">B61*$E$1</f>
        <v>4.86625188858464</v>
      </c>
      <c r="D61" s="5" t="n">
        <f aca="false">$G$1+$K$1</f>
        <v>35.78915</v>
      </c>
      <c r="E61" s="5" t="n">
        <f aca="false">-A61*$E$1-($G$1*TAN(RADIANS($H$1)))-$J$1</f>
        <v>-853.274728419106</v>
      </c>
    </row>
    <row r="62" customFormat="false" ht="15" hidden="false" customHeight="false" outlineLevel="0" collapsed="false">
      <c r="A62" s="5" t="n">
        <v>0.020877</v>
      </c>
      <c r="B62" s="5" t="n">
        <v>0.024071</v>
      </c>
      <c r="C62" s="5" t="n">
        <f aca="false">B62*$E$1</f>
        <v>4.23131702525452</v>
      </c>
      <c r="D62" s="5" t="n">
        <f aca="false">$G$1+$K$1</f>
        <v>35.78915</v>
      </c>
      <c r="E62" s="5" t="n">
        <f aca="false">-A62*$E$1-($G$1*TAN(RADIANS($H$1)))-$J$1</f>
        <v>-851.962142974896</v>
      </c>
    </row>
    <row r="63" customFormat="false" ht="15" hidden="false" customHeight="false" outlineLevel="0" collapsed="false">
      <c r="A63" s="5" t="n">
        <v>0.014529</v>
      </c>
      <c r="B63" s="5" t="n">
        <v>0.02033</v>
      </c>
      <c r="C63" s="5" t="n">
        <f aca="false">B63*$E$1</f>
        <v>3.57370591680547</v>
      </c>
      <c r="D63" s="5" t="n">
        <f aca="false">$G$1+$K$1</f>
        <v>35.78915</v>
      </c>
      <c r="E63" s="5" t="n">
        <f aca="false">-A63*$E$1-($G$1*TAN(RADIANS($H$1)))-$J$1</f>
        <v>-850.846260773229</v>
      </c>
    </row>
    <row r="64" customFormat="false" ht="15" hidden="false" customHeight="false" outlineLevel="0" collapsed="false">
      <c r="A64" s="5" t="n">
        <v>0.009315</v>
      </c>
      <c r="B64" s="5" t="n">
        <v>0.016471</v>
      </c>
      <c r="C64" s="5" t="n">
        <f aca="false">B64*$E$1</f>
        <v>2.8953521965422</v>
      </c>
      <c r="D64" s="5" t="n">
        <f aca="false">$G$1+$K$1</f>
        <v>35.78915</v>
      </c>
      <c r="E64" s="5" t="n">
        <f aca="false">-A64*$E$1-($G$1*TAN(RADIANS($H$1)))-$J$1</f>
        <v>-849.929718586794</v>
      </c>
    </row>
    <row r="65" customFormat="false" ht="15" hidden="false" customHeight="false" outlineLevel="0" collapsed="false">
      <c r="A65" s="5" t="n">
        <v>0.005247</v>
      </c>
      <c r="B65" s="5" t="n">
        <v>0.012501</v>
      </c>
      <c r="C65" s="5" t="n">
        <f aca="false">B65*$E$1</f>
        <v>2.19748635838589</v>
      </c>
      <c r="D65" s="5" t="n">
        <f aca="false">$G$1+$K$1</f>
        <v>35.78915</v>
      </c>
      <c r="E65" s="5" t="n">
        <f aca="false">-A65*$E$1-($G$1*TAN(RADIANS($H$1)))-$J$1</f>
        <v>-849.214625833741</v>
      </c>
    </row>
    <row r="66" customFormat="false" ht="15" hidden="false" customHeight="false" outlineLevel="0" collapsed="false">
      <c r="A66" s="5" t="n">
        <v>0.002334</v>
      </c>
      <c r="B66" s="5" t="n">
        <v>0.008429</v>
      </c>
      <c r="C66" s="5" t="n">
        <f aca="false">B66*$E$1</f>
        <v>1.4816904659495</v>
      </c>
      <c r="D66" s="5" t="n">
        <f aca="false">$G$1+$K$1</f>
        <v>35.78915</v>
      </c>
      <c r="E66" s="5" t="n">
        <f aca="false">-A66*$E$1-($G$1*TAN(RADIANS($H$1)))-$J$1</f>
        <v>-848.702564577684</v>
      </c>
    </row>
    <row r="67" customFormat="false" ht="15" hidden="false" customHeight="false" outlineLevel="0" collapsed="false">
      <c r="A67" s="5" t="n">
        <v>0.000584</v>
      </c>
      <c r="B67" s="5" t="n">
        <v>0.00426</v>
      </c>
      <c r="C67" s="5" t="n">
        <f aca="false">B67*$E$1</f>
        <v>0.748843443462434</v>
      </c>
      <c r="D67" s="5" t="n">
        <f aca="false">$G$1+$K$1</f>
        <v>35.78915</v>
      </c>
      <c r="E67" s="5" t="n">
        <f aca="false">-A67*$E$1-($G$1*TAN(RADIANS($H$1)))-$J$1</f>
        <v>-848.394941097388</v>
      </c>
    </row>
    <row r="68" customFormat="false" ht="15" hidden="false" customHeight="false" outlineLevel="0" collapsed="false">
      <c r="A68" s="5" t="n">
        <v>0</v>
      </c>
      <c r="B68" s="5" t="n">
        <v>0</v>
      </c>
      <c r="C68" s="5" t="n">
        <f aca="false">B68*$E$1</f>
        <v>0</v>
      </c>
      <c r="D68" s="5" t="n">
        <f aca="false">$G$1+$K$1</f>
        <v>35.78915</v>
      </c>
      <c r="E68" s="5" t="n">
        <f aca="false">-A68*$E$1-($G$1*TAN(RADIANS($H$1)))-$J$1</f>
        <v>-848.292282747392</v>
      </c>
    </row>
    <row r="69" customFormat="false" ht="15" hidden="false" customHeight="false" outlineLevel="0" collapsed="false">
      <c r="A69" s="5" t="n">
        <v>0.000584</v>
      </c>
      <c r="B69" s="5" t="n">
        <v>-0.00426</v>
      </c>
      <c r="C69" s="5" t="n">
        <f aca="false">B69*$E$1</f>
        <v>-0.748843443462434</v>
      </c>
      <c r="D69" s="5" t="n">
        <f aca="false">$G$1+$K$1</f>
        <v>35.78915</v>
      </c>
      <c r="E69" s="5" t="n">
        <f aca="false">-A69*$E$1-($G$1*TAN(RADIANS($H$1)))-$J$1</f>
        <v>-848.394941097388</v>
      </c>
    </row>
    <row r="70" customFormat="false" ht="15" hidden="false" customHeight="false" outlineLevel="0" collapsed="false">
      <c r="A70" s="5" t="n">
        <v>0.002334</v>
      </c>
      <c r="B70" s="5" t="n">
        <v>-0.008429</v>
      </c>
      <c r="C70" s="5" t="n">
        <f aca="false">B70*$E$1</f>
        <v>-1.4816904659495</v>
      </c>
      <c r="D70" s="5" t="n">
        <f aca="false">$G$1+$K$1</f>
        <v>35.78915</v>
      </c>
      <c r="E70" s="5" t="n">
        <f aca="false">-A70*$E$1-($G$1*TAN(RADIANS($H$1)))-$J$1</f>
        <v>-848.702564577684</v>
      </c>
    </row>
    <row r="71" customFormat="false" ht="15" hidden="false" customHeight="false" outlineLevel="0" collapsed="false">
      <c r="A71" s="5" t="n">
        <v>0.005247</v>
      </c>
      <c r="B71" s="5" t="n">
        <v>-0.012501</v>
      </c>
      <c r="C71" s="5" t="n">
        <f aca="false">B71*$E$1</f>
        <v>-2.19748635838589</v>
      </c>
      <c r="D71" s="5" t="n">
        <f aca="false">$G$1+$K$1</f>
        <v>35.78915</v>
      </c>
      <c r="E71" s="5" t="n">
        <f aca="false">-A71*$E$1-($G$1*TAN(RADIANS($H$1)))-$J$1</f>
        <v>-849.214625833741</v>
      </c>
    </row>
    <row r="72" customFormat="false" ht="15" hidden="false" customHeight="false" outlineLevel="0" collapsed="false">
      <c r="A72" s="5" t="n">
        <v>0.009315</v>
      </c>
      <c r="B72" s="5" t="n">
        <v>-0.016471</v>
      </c>
      <c r="C72" s="5" t="n">
        <f aca="false">B72*$E$1</f>
        <v>-2.8953521965422</v>
      </c>
      <c r="D72" s="5" t="n">
        <f aca="false">$G$1+$K$1</f>
        <v>35.78915</v>
      </c>
      <c r="E72" s="5" t="n">
        <f aca="false">-A72*$E$1-($G$1*TAN(RADIANS($H$1)))-$J$1</f>
        <v>-849.929718586794</v>
      </c>
    </row>
    <row r="73" customFormat="false" ht="15" hidden="false" customHeight="false" outlineLevel="0" collapsed="false">
      <c r="A73" s="5" t="n">
        <v>0.014529</v>
      </c>
      <c r="B73" s="5" t="n">
        <v>-0.02033</v>
      </c>
      <c r="C73" s="5" t="n">
        <f aca="false">B73*$E$1</f>
        <v>-3.57370591680547</v>
      </c>
      <c r="D73" s="5" t="n">
        <f aca="false">$G$1+$K$1</f>
        <v>35.78915</v>
      </c>
      <c r="E73" s="5" t="n">
        <f aca="false">-A73*$E$1-($G$1*TAN(RADIANS($H$1)))-$J$1</f>
        <v>-850.846260773229</v>
      </c>
    </row>
    <row r="74" customFormat="false" ht="15" hidden="false" customHeight="false" outlineLevel="0" collapsed="false">
      <c r="A74" s="5" t="n">
        <v>0.020877</v>
      </c>
      <c r="B74" s="5" t="n">
        <v>-0.024071</v>
      </c>
      <c r="C74" s="5" t="n">
        <f aca="false">B74*$E$1</f>
        <v>-4.23131702525452</v>
      </c>
      <c r="D74" s="5" t="n">
        <f aca="false">$G$1+$K$1</f>
        <v>35.78915</v>
      </c>
      <c r="E74" s="5" t="n">
        <f aca="false">-A74*$E$1-($G$1*TAN(RADIANS($H$1)))-$J$1</f>
        <v>-851.962142974896</v>
      </c>
    </row>
    <row r="75" customFormat="false" ht="15" hidden="false" customHeight="false" outlineLevel="0" collapsed="false">
      <c r="A75" s="5" t="n">
        <v>0.028344</v>
      </c>
      <c r="B75" s="5" t="n">
        <v>-0.027683</v>
      </c>
      <c r="C75" s="5" t="n">
        <f aca="false">B75*$E$1</f>
        <v>-4.86625188858464</v>
      </c>
      <c r="D75" s="5" t="n">
        <f aca="false">$G$1+$K$1</f>
        <v>35.78915</v>
      </c>
      <c r="E75" s="5" t="n">
        <f aca="false">-A75*$E$1-($G$1*TAN(RADIANS($H$1)))-$J$1</f>
        <v>-853.274728419106</v>
      </c>
    </row>
    <row r="76" customFormat="false" ht="15" hidden="false" customHeight="false" outlineLevel="0" collapsed="false">
      <c r="A76" s="5" t="n">
        <v>0.036913</v>
      </c>
      <c r="B76" s="5" t="n">
        <v>-0.031156</v>
      </c>
      <c r="C76" s="5" t="n">
        <f aca="false">B76*$E$1</f>
        <v>-5.47675265833699</v>
      </c>
      <c r="D76" s="5" t="n">
        <f aca="false">$G$1+$K$1</f>
        <v>35.78915</v>
      </c>
      <c r="E76" s="5" t="n">
        <f aca="false">-A76*$E$1-($G$1*TAN(RADIANS($H$1)))-$J$1</f>
        <v>-854.781028763479</v>
      </c>
    </row>
    <row r="77" customFormat="false" ht="15" hidden="false" customHeight="false" outlineLevel="0" collapsed="false">
      <c r="A77" s="5" t="n">
        <v>0.046563</v>
      </c>
      <c r="B77" s="5" t="n">
        <v>-0.034479</v>
      </c>
      <c r="C77" s="5" t="n">
        <f aca="false">B77*$E$1</f>
        <v>-6.06088570120687</v>
      </c>
      <c r="D77" s="5" t="n">
        <f aca="false">$G$1+$K$1</f>
        <v>35.78915</v>
      </c>
      <c r="E77" s="5" t="n">
        <f aca="false">-A77*$E$1-($G$1*TAN(RADIANS($H$1)))-$J$1</f>
        <v>-856.477352526252</v>
      </c>
    </row>
    <row r="78" customFormat="false" ht="15" hidden="false" customHeight="false" outlineLevel="0" collapsed="false">
      <c r="A78" s="5" t="n">
        <v>0.057272</v>
      </c>
      <c r="B78" s="5" t="n">
        <v>-0.037641</v>
      </c>
      <c r="C78" s="5" t="n">
        <f aca="false">B78*$E$1</f>
        <v>-6.61671738388955</v>
      </c>
      <c r="D78" s="5" t="n">
        <f aca="false">$G$1+$K$1</f>
        <v>35.78915</v>
      </c>
      <c r="E78" s="5" t="n">
        <f aca="false">-A78*$E$1-($G$1*TAN(RADIANS($H$1)))-$J$1</f>
        <v>-858.359832440815</v>
      </c>
    </row>
    <row r="79" customFormat="false" ht="15" hidden="false" customHeight="false" outlineLevel="0" collapsed="false">
      <c r="A79" s="5" t="n">
        <v>0.069015</v>
      </c>
      <c r="B79" s="5" t="n">
        <v>-0.040631</v>
      </c>
      <c r="C79" s="5" t="n">
        <f aca="false">B79*$E$1</f>
        <v>-7.14231407308032</v>
      </c>
      <c r="D79" s="5" t="n">
        <f aca="false">$G$1+$K$1</f>
        <v>35.78915</v>
      </c>
      <c r="E79" s="5" t="n">
        <f aca="false">-A79*$E$1-($G$1*TAN(RADIANS($H$1)))-$J$1</f>
        <v>-860.424073886021</v>
      </c>
    </row>
    <row r="80" customFormat="false" ht="15" hidden="false" customHeight="false" outlineLevel="0" collapsed="false">
      <c r="A80" s="5" t="n">
        <v>0.081765</v>
      </c>
      <c r="B80" s="5" t="n">
        <v>-0.043437</v>
      </c>
      <c r="C80" s="5" t="n">
        <f aca="false">B80*$E$1</f>
        <v>-7.63556635062858</v>
      </c>
      <c r="D80" s="5" t="n">
        <f aca="false">$G$1+$K$1</f>
        <v>35.78915</v>
      </c>
      <c r="E80" s="5" t="n">
        <f aca="false">-A80*$E$1-($G$1*TAN(RADIANS($H$1)))-$J$1</f>
        <v>-862.665330671032</v>
      </c>
    </row>
    <row r="81" customFormat="false" ht="15" hidden="false" customHeight="false" outlineLevel="0" collapsed="false">
      <c r="A81" s="5" t="n">
        <v>0.095492</v>
      </c>
      <c r="B81" s="5" t="n">
        <v>-0.046049</v>
      </c>
      <c r="C81" s="5" t="n">
        <f aca="false">B81*$E$1</f>
        <v>-8.0947163680755</v>
      </c>
      <c r="D81" s="5" t="n">
        <f aca="false">$G$1+$K$1</f>
        <v>35.78915</v>
      </c>
      <c r="E81" s="5" t="n">
        <f aca="false">-A81*$E$1-($G$1*TAN(RADIANS($H$1)))-$J$1</f>
        <v>-865.078329250471</v>
      </c>
    </row>
    <row r="82" customFormat="false" ht="15" hidden="false" customHeight="false" outlineLevel="0" collapsed="false">
      <c r="A82" s="5" t="n">
        <v>0.110163</v>
      </c>
      <c r="B82" s="5" t="n">
        <v>-0.048457</v>
      </c>
      <c r="C82" s="5" t="n">
        <f aca="false">B82*$E$1</f>
        <v>-8.51800627696225</v>
      </c>
      <c r="D82" s="5" t="n">
        <f aca="false">$G$1+$K$1</f>
        <v>35.78915</v>
      </c>
      <c r="E82" s="5" t="n">
        <f aca="false">-A82*$E$1-($G$1*TAN(RADIANS($H$1)))-$J$1</f>
        <v>-867.657268724423</v>
      </c>
    </row>
    <row r="83" customFormat="false" ht="15" hidden="false" customHeight="false" outlineLevel="0" collapsed="false">
      <c r="A83" s="5" t="n">
        <v>0.125745</v>
      </c>
      <c r="B83" s="5" t="n">
        <v>-0.050651</v>
      </c>
      <c r="C83" s="5" t="n">
        <f aca="false">B83*$E$1</f>
        <v>-8.90367822882999</v>
      </c>
      <c r="D83" s="5" t="n">
        <f aca="false">$G$1+$K$1</f>
        <v>35.78915</v>
      </c>
      <c r="E83" s="5" t="n">
        <f aca="false">-A83*$E$1-($G$1*TAN(RADIANS($H$1)))-$J$1</f>
        <v>-870.396348192975</v>
      </c>
    </row>
    <row r="84" customFormat="false" ht="15" hidden="false" customHeight="false" outlineLevel="0" collapsed="false">
      <c r="A84" s="5" t="n">
        <v>0.142201</v>
      </c>
      <c r="B84" s="5" t="n">
        <v>-0.052625</v>
      </c>
      <c r="C84" s="5" t="n">
        <f aca="false">B84*$E$1</f>
        <v>-9.25067751460343</v>
      </c>
      <c r="D84" s="5" t="n">
        <f aca="false">$G$1+$K$1</f>
        <v>35.78915</v>
      </c>
      <c r="E84" s="5" t="n">
        <f aca="false">-A84*$E$1-($G$1*TAN(RADIANS($H$1)))-$J$1</f>
        <v>-873.289063616829</v>
      </c>
    </row>
    <row r="85" customFormat="false" ht="15" hidden="false" customHeight="false" outlineLevel="0" collapsed="false">
      <c r="A85" s="5" t="n">
        <v>0.159492</v>
      </c>
      <c r="B85" s="5" t="n">
        <v>-0.054372</v>
      </c>
      <c r="C85" s="5" t="n">
        <f aca="false">B85*$E$1</f>
        <v>-9.55777364036138</v>
      </c>
      <c r="D85" s="5" t="n">
        <f aca="false">$G$1+$K$1</f>
        <v>35.78915</v>
      </c>
      <c r="E85" s="5" t="n">
        <f aca="false">-A85*$E$1-($G$1*TAN(RADIANS($H$1)))-$J$1</f>
        <v>-876.328559386996</v>
      </c>
    </row>
    <row r="86" customFormat="false" ht="15" hidden="false" customHeight="false" outlineLevel="0" collapsed="false">
      <c r="A86" s="5" t="n">
        <v>0.177579</v>
      </c>
      <c r="B86" s="5" t="n">
        <v>-0.055886</v>
      </c>
      <c r="C86" s="5" t="n">
        <f aca="false">B86*$E$1</f>
        <v>-9.82391189702854</v>
      </c>
      <c r="D86" s="5" t="n">
        <f aca="false">$G$1+$K$1</f>
        <v>35.78915</v>
      </c>
      <c r="E86" s="5" t="n">
        <f aca="false">-A86*$E$1-($G$1*TAN(RADIANS($H$1)))-$J$1</f>
        <v>-879.507979894485</v>
      </c>
    </row>
    <row r="87" customFormat="false" ht="15" hidden="false" customHeight="false" outlineLevel="0" collapsed="false">
      <c r="A87" s="5" t="n">
        <v>0.196419</v>
      </c>
      <c r="B87" s="5" t="n">
        <v>-0.057164</v>
      </c>
      <c r="C87" s="5" t="n">
        <f aca="false">B87*$E$1</f>
        <v>-10.0485649300673</v>
      </c>
      <c r="D87" s="5" t="n">
        <f aca="false">$G$1+$K$1</f>
        <v>35.78915</v>
      </c>
      <c r="E87" s="5" t="n">
        <f aca="false">-A87*$E$1-($G$1*TAN(RADIANS($H$1)))-$J$1</f>
        <v>-882.819766390924</v>
      </c>
    </row>
    <row r="88" customFormat="false" ht="15" hidden="false" customHeight="false" outlineLevel="0" collapsed="false">
      <c r="A88" s="5" t="n">
        <v>0.215968</v>
      </c>
      <c r="B88" s="5" t="n">
        <v>-0.058205</v>
      </c>
      <c r="C88" s="5" t="n">
        <f aca="false">B88*$E$1</f>
        <v>-10.2315569546317</v>
      </c>
      <c r="D88" s="5" t="n">
        <f aca="false">$G$1+$K$1</f>
        <v>35.78915</v>
      </c>
      <c r="E88" s="5" t="n">
        <f aca="false">-A88*$E$1-($G$1*TAN(RADIANS($H$1)))-$J$1</f>
        <v>-886.256184343095</v>
      </c>
    </row>
    <row r="89" customFormat="false" ht="15" hidden="false" customHeight="false" outlineLevel="0" collapsed="false">
      <c r="A89" s="5" t="n">
        <v>0.23618</v>
      </c>
      <c r="B89" s="5" t="n">
        <v>-0.059008</v>
      </c>
      <c r="C89" s="5" t="n">
        <f aca="false">B89*$E$1</f>
        <v>-10.3727121858759</v>
      </c>
      <c r="D89" s="5" t="n">
        <f aca="false">$G$1+$K$1</f>
        <v>35.78915</v>
      </c>
      <c r="E89" s="5" t="n">
        <f aca="false">-A89*$E$1-($G$1*TAN(RADIANS($H$1)))-$J$1</f>
        <v>-889.809147648086</v>
      </c>
    </row>
    <row r="90" customFormat="false" ht="15" hidden="false" customHeight="false" outlineLevel="0" collapsed="false">
      <c r="A90" s="5" t="n">
        <v>0.257008</v>
      </c>
      <c r="B90" s="5" t="n">
        <v>-0.059576</v>
      </c>
      <c r="C90" s="5" t="n">
        <f aca="false">B90*$E$1</f>
        <v>-10.4725579783376</v>
      </c>
      <c r="D90" s="5" t="n">
        <f aca="false">$G$1+$K$1</f>
        <v>35.78915</v>
      </c>
      <c r="E90" s="5" t="n">
        <f aca="false">-A90*$E$1-($G$1*TAN(RADIANS($H$1)))-$J$1</f>
        <v>-893.470394418142</v>
      </c>
    </row>
    <row r="91" customFormat="false" ht="15" hidden="false" customHeight="false" outlineLevel="0" collapsed="false">
      <c r="A91" s="5" t="n">
        <v>0.278404</v>
      </c>
      <c r="B91" s="5" t="n">
        <v>-0.05991</v>
      </c>
      <c r="C91" s="5" t="n">
        <f aca="false">B91*$E$1</f>
        <v>-10.5312701168625</v>
      </c>
      <c r="D91" s="5" t="n">
        <f aca="false">$G$1+$K$1</f>
        <v>35.78915</v>
      </c>
      <c r="E91" s="5" t="n">
        <f aca="false">-A91*$E$1-($G$1*TAN(RADIANS($H$1)))-$J$1</f>
        <v>-897.231486980659</v>
      </c>
    </row>
    <row r="92" customFormat="false" ht="15" hidden="false" customHeight="false" outlineLevel="0" collapsed="false">
      <c r="A92" s="5" t="n">
        <v>0.300318</v>
      </c>
      <c r="B92" s="5" t="n">
        <v>-0.060017</v>
      </c>
      <c r="C92" s="5" t="n">
        <f aca="false">B92*$E$1</f>
        <v>-10.550079095372</v>
      </c>
      <c r="D92" s="5" t="n">
        <f aca="false">$G$1+$K$1</f>
        <v>35.78915</v>
      </c>
      <c r="E92" s="5" t="n">
        <f aca="false">-A92*$E$1-($G$1*TAN(RADIANS($H$1)))-$J$1</f>
        <v>-901.083636093343</v>
      </c>
    </row>
    <row r="93" customFormat="false" ht="15" hidden="false" customHeight="false" outlineLevel="0" collapsed="false">
      <c r="A93" s="5" t="n">
        <v>0.322698</v>
      </c>
      <c r="B93" s="5" t="n">
        <v>-0.059903</v>
      </c>
      <c r="C93" s="5" t="n">
        <f aca="false">B93*$E$1</f>
        <v>-10.5300396229414</v>
      </c>
      <c r="D93" s="5" t="n">
        <f aca="false">$G$1+$K$1</f>
        <v>35.78915</v>
      </c>
      <c r="E93" s="5" t="n">
        <f aca="false">-A93*$E$1-($G$1*TAN(RADIANS($H$1)))-$J$1</f>
        <v>-905.017700944209</v>
      </c>
    </row>
    <row r="94" customFormat="false" ht="15" hidden="false" customHeight="false" outlineLevel="0" collapsed="false">
      <c r="A94" s="5" t="n">
        <v>0.345492</v>
      </c>
      <c r="B94" s="5" t="n">
        <v>-0.059575</v>
      </c>
      <c r="C94" s="5" t="n">
        <f aca="false">B94*$E$1</f>
        <v>-10.4723821934917</v>
      </c>
      <c r="D94" s="5" t="n">
        <f aca="false">$G$1+$K$1</f>
        <v>35.78915</v>
      </c>
      <c r="E94" s="5" t="n">
        <f aca="false">-A94*$E$1-($G$1*TAN(RADIANS($H$1)))-$J$1</f>
        <v>-909.024540721271</v>
      </c>
    </row>
    <row r="95" customFormat="false" ht="15" hidden="false" customHeight="false" outlineLevel="0" collapsed="false">
      <c r="A95" s="5" t="n">
        <v>0.368646</v>
      </c>
      <c r="B95" s="5" t="n">
        <v>-0.059042</v>
      </c>
      <c r="C95" s="5" t="n">
        <f aca="false">B95*$E$1</f>
        <v>-10.3786888706359</v>
      </c>
      <c r="D95" s="5" t="n">
        <f aca="false">$G$1+$K$1</f>
        <v>35.78915</v>
      </c>
      <c r="E95" s="5" t="n">
        <f aca="false">-A95*$E$1-($G$1*TAN(RADIANS($H$1)))-$J$1</f>
        <v>-913.09466304285</v>
      </c>
    </row>
    <row r="96" customFormat="false" ht="15" hidden="false" customHeight="false" outlineLevel="0" collapsed="false">
      <c r="A96" s="5" t="n">
        <v>0.392108</v>
      </c>
      <c r="B96" s="5" t="n">
        <v>-0.058314</v>
      </c>
      <c r="C96" s="5" t="n">
        <f aca="false">B96*$E$1</f>
        <v>-10.250717502833</v>
      </c>
      <c r="D96" s="5" t="n">
        <f aca="false">$G$1+$K$1</f>
        <v>35.78915</v>
      </c>
      <c r="E96" s="5" t="n">
        <f aca="false">-A96*$E$1-($G$1*TAN(RADIANS($H$1)))-$J$1</f>
        <v>-917.218927096962</v>
      </c>
    </row>
    <row r="97" customFormat="false" ht="15" hidden="false" customHeight="false" outlineLevel="0" collapsed="false">
      <c r="A97" s="5" t="n">
        <v>0.415822</v>
      </c>
      <c r="B97" s="5" t="n">
        <v>-0.057403</v>
      </c>
      <c r="C97" s="5" t="n">
        <f aca="false">B97*$E$1</f>
        <v>-10.0905775082334</v>
      </c>
      <c r="D97" s="5" t="n">
        <f aca="false">$G$1+$K$1</f>
        <v>35.78915</v>
      </c>
      <c r="E97" s="5" t="n">
        <f aca="false">-A97*$E$1-($G$1*TAN(RADIANS($H$1)))-$J$1</f>
        <v>-921.387488932236</v>
      </c>
    </row>
    <row r="98" customFormat="false" ht="15" hidden="false" customHeight="false" outlineLevel="0" collapsed="false">
      <c r="A98" s="5" t="n">
        <v>0.439732</v>
      </c>
      <c r="B98" s="5" t="n">
        <v>-0.05632</v>
      </c>
      <c r="C98" s="5" t="n">
        <f aca="false">B98*$E$1</f>
        <v>-9.90020252014185</v>
      </c>
      <c r="D98" s="5" t="n">
        <f aca="false">$G$1+$K$1</f>
        <v>35.78915</v>
      </c>
      <c r="E98" s="5" t="n">
        <f aca="false">-A98*$E$1-($G$1*TAN(RADIANS($H$1)))-$J$1</f>
        <v>-925.590504597304</v>
      </c>
    </row>
    <row r="99" customFormat="false" ht="15" hidden="false" customHeight="false" outlineLevel="0" collapsed="false">
      <c r="A99" s="5" t="n">
        <v>0.463783</v>
      </c>
      <c r="B99" s="5" t="n">
        <v>-0.055077</v>
      </c>
      <c r="C99" s="5" t="n">
        <f aca="false">B99*$E$1</f>
        <v>-9.68170195670903</v>
      </c>
      <c r="D99" s="5" t="n">
        <f aca="false">$G$1+$K$1</f>
        <v>35.78915</v>
      </c>
      <c r="E99" s="5" t="n">
        <f aca="false">-A99*$E$1-($G$1*TAN(RADIANS($H$1)))-$J$1</f>
        <v>-929.81830592564</v>
      </c>
    </row>
    <row r="100" customFormat="false" ht="15" hidden="false" customHeight="false" outlineLevel="0" collapsed="false">
      <c r="A100" s="5" t="n">
        <v>0.487918</v>
      </c>
      <c r="B100" s="5" t="n">
        <v>-0.053687</v>
      </c>
      <c r="C100" s="5" t="n">
        <f aca="false">B100*$E$1</f>
        <v>-9.43736102093138</v>
      </c>
      <c r="D100" s="5" t="n">
        <f aca="false">$G$1+$K$1</f>
        <v>35.78915</v>
      </c>
      <c r="E100" s="5" t="n">
        <f aca="false">-A100*$E$1-($G$1*TAN(RADIANS($H$1)))-$J$1</f>
        <v>-934.060873181031</v>
      </c>
    </row>
    <row r="101" customFormat="false" ht="15" hidden="false" customHeight="false" outlineLevel="0" collapsed="false">
      <c r="A101" s="5" t="n">
        <v>0.512082</v>
      </c>
      <c r="B101" s="5" t="n">
        <v>-0.052162</v>
      </c>
      <c r="C101" s="5" t="n">
        <f aca="false">B101*$E$1</f>
        <v>-9.1692891309595</v>
      </c>
      <c r="D101" s="5" t="n">
        <f aca="false">$G$1+$K$1</f>
        <v>35.78915</v>
      </c>
      <c r="E101" s="5" t="n">
        <f aca="false">-A101*$E$1-($G$1*TAN(RADIANS($H$1)))-$J$1</f>
        <v>-938.308538196953</v>
      </c>
    </row>
    <row r="102" customFormat="false" ht="15" hidden="false" customHeight="false" outlineLevel="0" collapsed="false">
      <c r="A102" s="5" t="n">
        <v>0.536217</v>
      </c>
      <c r="B102" s="5" t="n">
        <v>-0.050516</v>
      </c>
      <c r="C102" s="5" t="n">
        <f aca="false">B102*$E$1</f>
        <v>-8.87994727463576</v>
      </c>
      <c r="D102" s="5" t="n">
        <f aca="false">$G$1+$K$1</f>
        <v>35.78915</v>
      </c>
      <c r="E102" s="5" t="n">
        <f aca="false">-A102*$E$1-($G$1*TAN(RADIANS($H$1)))-$J$1</f>
        <v>-942.551105452344</v>
      </c>
    </row>
    <row r="103" customFormat="false" ht="15" hidden="false" customHeight="false" outlineLevel="0" collapsed="false">
      <c r="A103" s="5" t="n">
        <v>0.560268</v>
      </c>
      <c r="B103" s="5" t="n">
        <v>-0.048762</v>
      </c>
      <c r="C103" s="5" t="n">
        <f aca="false">B103*$E$1</f>
        <v>-8.57162065495662</v>
      </c>
      <c r="D103" s="5" t="n">
        <f aca="false">$G$1+$K$1</f>
        <v>35.78915</v>
      </c>
      <c r="E103" s="5" t="n">
        <f aca="false">-A103*$E$1-($G$1*TAN(RADIANS($H$1)))-$J$1</f>
        <v>-946.778906780681</v>
      </c>
    </row>
    <row r="104" customFormat="false" ht="15" hidden="false" customHeight="false" outlineLevel="0" collapsed="false">
      <c r="A104" s="5" t="n">
        <v>0.584179</v>
      </c>
      <c r="B104" s="5" t="n">
        <v>-0.046912</v>
      </c>
      <c r="C104" s="5" t="n">
        <f aca="false">B104*$E$1</f>
        <v>-8.2464186900727</v>
      </c>
      <c r="D104" s="5" t="n">
        <f aca="false">$G$1+$K$1</f>
        <v>35.78915</v>
      </c>
      <c r="E104" s="5" t="n">
        <f aca="false">-A104*$E$1-($G$1*TAN(RADIANS($H$1)))-$J$1</f>
        <v>-950.982098230594</v>
      </c>
    </row>
    <row r="105" customFormat="false" ht="15" hidden="false" customHeight="false" outlineLevel="0" collapsed="false">
      <c r="A105" s="5" t="n">
        <v>0.607892</v>
      </c>
      <c r="B105" s="5" t="n">
        <v>-0.04498</v>
      </c>
      <c r="C105" s="5" t="n">
        <f aca="false">B105*$E$1</f>
        <v>-7.90680236782636</v>
      </c>
      <c r="D105" s="5" t="n">
        <f aca="false">$G$1+$K$1</f>
        <v>35.78915</v>
      </c>
      <c r="E105" s="5" t="n">
        <f aca="false">-A105*$E$1-($G$1*TAN(RADIANS($H$1)))-$J$1</f>
        <v>-955.150484281023</v>
      </c>
    </row>
    <row r="106" customFormat="false" ht="15" hidden="false" customHeight="false" outlineLevel="0" collapsed="false">
      <c r="A106" s="5" t="n">
        <v>0.631354</v>
      </c>
      <c r="B106" s="5" t="n">
        <v>-0.042978</v>
      </c>
      <c r="C106" s="5" t="n">
        <f aca="false">B106*$E$1</f>
        <v>-7.55488110636819</v>
      </c>
      <c r="D106" s="5" t="n">
        <f aca="false">$G$1+$K$1</f>
        <v>35.78915</v>
      </c>
      <c r="E106" s="5" t="n">
        <f aca="false">-A106*$E$1-($G$1*TAN(RADIANS($H$1)))-$J$1</f>
        <v>-959.274748335134</v>
      </c>
    </row>
    <row r="107" customFormat="false" ht="15" hidden="false" customHeight="false" outlineLevel="0" collapsed="false">
      <c r="A107" s="5" t="n">
        <v>0.654509</v>
      </c>
      <c r="B107" s="5" t="n">
        <v>-0.040917</v>
      </c>
      <c r="C107" s="5" t="n">
        <f aca="false">B107*$E$1</f>
        <v>-7.19258853900292</v>
      </c>
      <c r="D107" s="5" t="n">
        <f aca="false">$G$1+$K$1</f>
        <v>35.78915</v>
      </c>
      <c r="E107" s="5" t="n">
        <f aca="false">-A107*$E$1-($G$1*TAN(RADIANS($H$1)))-$J$1</f>
        <v>-963.34504644156</v>
      </c>
    </row>
    <row r="108" customFormat="false" ht="15" hidden="false" customHeight="false" outlineLevel="0" collapsed="false">
      <c r="A108" s="5" t="n">
        <v>0.677303</v>
      </c>
      <c r="B108" s="5" t="n">
        <v>-0.038811</v>
      </c>
      <c r="C108" s="5" t="n">
        <f aca="false">B108*$E$1</f>
        <v>-6.82238565357289</v>
      </c>
      <c r="D108" s="5" t="n">
        <f aca="false">$G$1+$K$1</f>
        <v>35.78915</v>
      </c>
      <c r="E108" s="5" t="n">
        <f aca="false">-A108*$E$1-($G$1*TAN(RADIANS($H$1)))-$J$1</f>
        <v>-967.351886218621</v>
      </c>
    </row>
    <row r="109" customFormat="false" ht="15" hidden="false" customHeight="false" outlineLevel="0" collapsed="false">
      <c r="A109" s="5" t="n">
        <v>0.699682</v>
      </c>
      <c r="B109" s="5" t="n">
        <v>-0.03667</v>
      </c>
      <c r="C109" s="5" t="n">
        <f aca="false">B109*$E$1</f>
        <v>-6.44603029853696</v>
      </c>
      <c r="D109" s="5" t="n">
        <f aca="false">$G$1+$K$1</f>
        <v>35.78915</v>
      </c>
      <c r="E109" s="5" t="n">
        <f aca="false">-A109*$E$1-($G$1*TAN(RADIANS($H$1)))-$J$1</f>
        <v>-971.285775284642</v>
      </c>
    </row>
    <row r="110" customFormat="false" ht="15" hidden="false" customHeight="false" outlineLevel="0" collapsed="false">
      <c r="A110" s="5" t="n">
        <v>0.721596</v>
      </c>
      <c r="B110" s="5" t="n">
        <v>-0.034506</v>
      </c>
      <c r="C110" s="5" t="n">
        <f aca="false">B110*$E$1</f>
        <v>-6.06563189204572</v>
      </c>
      <c r="D110" s="5" t="n">
        <f aca="false">$G$1+$K$1</f>
        <v>35.78915</v>
      </c>
      <c r="E110" s="5" t="n">
        <f aca="false">-A110*$E$1-($G$1*TAN(RADIANS($H$1)))-$J$1</f>
        <v>-975.137924397326</v>
      </c>
    </row>
    <row r="111" customFormat="false" ht="15" hidden="false" customHeight="false" outlineLevel="0" collapsed="false">
      <c r="A111" s="5" t="n">
        <v>0.742992</v>
      </c>
      <c r="B111" s="5" t="n">
        <v>-0.032329</v>
      </c>
      <c r="C111" s="5" t="n">
        <f aca="false">B111*$E$1</f>
        <v>-5.68294828255799</v>
      </c>
      <c r="D111" s="5" t="n">
        <f aca="false">$G$1+$K$1</f>
        <v>35.78915</v>
      </c>
      <c r="E111" s="5" t="n">
        <f aca="false">-A111*$E$1-($G$1*TAN(RADIANS($H$1)))-$J$1</f>
        <v>-978.899016959843</v>
      </c>
    </row>
    <row r="112" customFormat="false" ht="15" hidden="false" customHeight="false" outlineLevel="0" collapsed="false">
      <c r="A112" s="5" t="n">
        <v>0.76382</v>
      </c>
      <c r="B112" s="5" t="n">
        <v>-0.030152</v>
      </c>
      <c r="C112" s="5" t="n">
        <f aca="false">B112*$E$1</f>
        <v>-5.30026467307026</v>
      </c>
      <c r="D112" s="5" t="n">
        <f aca="false">$G$1+$K$1</f>
        <v>35.78915</v>
      </c>
      <c r="E112" s="5" t="n">
        <f aca="false">-A112*$E$1-($G$1*TAN(RADIANS($H$1)))-$J$1</f>
        <v>-982.560263729898</v>
      </c>
    </row>
    <row r="113" customFormat="false" ht="15" hidden="false" customHeight="false" outlineLevel="0" collapsed="false">
      <c r="A113" s="5" t="n">
        <v>0.784032</v>
      </c>
      <c r="B113" s="5" t="n">
        <v>-0.027983</v>
      </c>
      <c r="C113" s="5" t="n">
        <f aca="false">B113*$E$1</f>
        <v>-4.9189873423496</v>
      </c>
      <c r="D113" s="5" t="n">
        <f aca="false">$G$1+$K$1</f>
        <v>35.78915</v>
      </c>
      <c r="E113" s="5" t="n">
        <f aca="false">-A113*$E$1-($G$1*TAN(RADIANS($H$1)))-$J$1</f>
        <v>-986.11322703489</v>
      </c>
    </row>
    <row r="114" customFormat="false" ht="15" hidden="false" customHeight="false" outlineLevel="0" collapsed="false">
      <c r="A114" s="5" t="n">
        <v>0.803581</v>
      </c>
      <c r="B114" s="5" t="n">
        <v>-0.025834</v>
      </c>
      <c r="C114" s="5" t="n">
        <f aca="false">B114*$E$1</f>
        <v>-4.5412257085466</v>
      </c>
      <c r="D114" s="5" t="n">
        <f aca="false">$G$1+$K$1</f>
        <v>35.78915</v>
      </c>
      <c r="E114" s="5" t="n">
        <f aca="false">-A114*$E$1-($G$1*TAN(RADIANS($H$1)))-$J$1</f>
        <v>-989.54964498706</v>
      </c>
    </row>
    <row r="115" customFormat="false" ht="15" hidden="false" customHeight="false" outlineLevel="0" collapsed="false">
      <c r="A115" s="5" t="n">
        <v>0.822421</v>
      </c>
      <c r="B115" s="5" t="n">
        <v>-0.023714</v>
      </c>
      <c r="C115" s="5" t="n">
        <f aca="false">B115*$E$1</f>
        <v>-4.16856183527422</v>
      </c>
      <c r="D115" s="5" t="n">
        <f aca="false">$G$1+$K$1</f>
        <v>35.78915</v>
      </c>
      <c r="E115" s="5" t="n">
        <f aca="false">-A115*$E$1-($G$1*TAN(RADIANS($H$1)))-$J$1</f>
        <v>-992.8614314835</v>
      </c>
    </row>
    <row r="116" customFormat="false" ht="15" hidden="false" customHeight="false" outlineLevel="0" collapsed="false">
      <c r="A116" s="5" t="n">
        <v>0.840508</v>
      </c>
      <c r="B116" s="5" t="n">
        <v>-0.021635</v>
      </c>
      <c r="C116" s="5" t="n">
        <f aca="false">B116*$E$1</f>
        <v>-3.80310514068304</v>
      </c>
      <c r="D116" s="5" t="n">
        <f aca="false">$G$1+$K$1</f>
        <v>35.78915</v>
      </c>
      <c r="E116" s="5" t="n">
        <f aca="false">-A116*$E$1-($G$1*TAN(RADIANS($H$1)))-$J$1</f>
        <v>-996.040851990989</v>
      </c>
    </row>
    <row r="117" customFormat="false" ht="15" hidden="false" customHeight="false" outlineLevel="0" collapsed="false">
      <c r="A117" s="5" t="n">
        <v>0.8578</v>
      </c>
      <c r="B117" s="5" t="n">
        <v>-0.019605</v>
      </c>
      <c r="C117" s="5" t="n">
        <f aca="false">B117*$E$1</f>
        <v>-3.44626190354015</v>
      </c>
      <c r="D117" s="5" t="n">
        <f aca="false">$G$1+$K$1</f>
        <v>35.78915</v>
      </c>
      <c r="E117" s="5" t="n">
        <f aca="false">-A117*$E$1-($G$1*TAN(RADIANS($H$1)))-$J$1</f>
        <v>-999.080523546002</v>
      </c>
    </row>
    <row r="118" customFormat="false" ht="15" hidden="false" customHeight="false" outlineLevel="0" collapsed="false">
      <c r="A118" s="5" t="n">
        <v>0.874255</v>
      </c>
      <c r="B118" s="5" t="n">
        <v>-0.017635</v>
      </c>
      <c r="C118" s="5" t="n">
        <f aca="false">B118*$E$1</f>
        <v>-3.09996575715024</v>
      </c>
      <c r="D118" s="5" t="n">
        <f aca="false">$G$1+$K$1</f>
        <v>35.78915</v>
      </c>
      <c r="E118" s="5" t="n">
        <f aca="false">-A118*$E$1-($G$1*TAN(RADIANS($H$1)))-$J$1</f>
        <v>-1001.97306318501</v>
      </c>
    </row>
    <row r="119" customFormat="false" ht="15" hidden="false" customHeight="false" outlineLevel="0" collapsed="false">
      <c r="A119" s="5" t="n">
        <v>0.889837</v>
      </c>
      <c r="B119" s="5" t="n">
        <v>-0.015735</v>
      </c>
      <c r="C119" s="5" t="n">
        <f aca="false">B119*$E$1</f>
        <v>-2.76597454997216</v>
      </c>
      <c r="D119" s="5" t="n">
        <f aca="false">$G$1+$K$1</f>
        <v>35.78915</v>
      </c>
      <c r="E119" s="5" t="n">
        <f aca="false">-A119*$E$1-($G$1*TAN(RADIANS($H$1)))-$J$1</f>
        <v>-1004.71214265356</v>
      </c>
    </row>
    <row r="120" customFormat="false" ht="15" hidden="false" customHeight="false" outlineLevel="0" collapsed="false">
      <c r="A120" s="5" t="n">
        <v>0.904509</v>
      </c>
      <c r="B120" s="5" t="n">
        <v>-0.013914</v>
      </c>
      <c r="C120" s="5" t="n">
        <f aca="false">B120*$E$1</f>
        <v>-2.44587034561885</v>
      </c>
      <c r="D120" s="5" t="n">
        <f aca="false">$G$1+$K$1</f>
        <v>35.78915</v>
      </c>
      <c r="E120" s="5" t="n">
        <f aca="false">-A120*$E$1-($G$1*TAN(RADIANS($H$1)))-$J$1</f>
        <v>-1007.29125791236</v>
      </c>
    </row>
    <row r="121" customFormat="false" ht="15" hidden="false" customHeight="false" outlineLevel="0" collapsed="false">
      <c r="A121" s="5" t="n">
        <v>0.918235</v>
      </c>
      <c r="B121" s="5" t="n">
        <v>-0.012182</v>
      </c>
      <c r="C121" s="5" t="n">
        <f aca="false">B121*$E$1</f>
        <v>-2.14141099254915</v>
      </c>
      <c r="D121" s="5" t="n">
        <f aca="false">$G$1+$K$1</f>
        <v>35.78915</v>
      </c>
      <c r="E121" s="5" t="n">
        <f aca="false">-A121*$E$1-($G$1*TAN(RADIANS($H$1)))-$J$1</f>
        <v>-1009.70408070695</v>
      </c>
    </row>
    <row r="122" customFormat="false" ht="15" hidden="false" customHeight="false" outlineLevel="0" collapsed="false">
      <c r="A122" s="5" t="n">
        <v>0.930985</v>
      </c>
      <c r="B122" s="5" t="n">
        <v>-0.010549</v>
      </c>
      <c r="C122" s="5" t="n">
        <f aca="false">B122*$E$1</f>
        <v>-1.85435433922188</v>
      </c>
      <c r="D122" s="5" t="n">
        <f aca="false">$G$1+$K$1</f>
        <v>35.78915</v>
      </c>
      <c r="E122" s="5" t="n">
        <f aca="false">-A122*$E$1-($G$1*TAN(RADIANS($H$1)))-$J$1</f>
        <v>-1011.94533749196</v>
      </c>
    </row>
    <row r="123" customFormat="false" ht="15" hidden="false" customHeight="false" outlineLevel="0" collapsed="false">
      <c r="A123" s="5" t="n">
        <v>0.942728</v>
      </c>
      <c r="B123" s="5" t="n">
        <v>-0.009022</v>
      </c>
      <c r="C123" s="5" t="n">
        <f aca="false">B123*$E$1</f>
        <v>-1.58593087955824</v>
      </c>
      <c r="D123" s="5" t="n">
        <f aca="false">$G$1+$K$1</f>
        <v>35.78915</v>
      </c>
      <c r="E123" s="5" t="n">
        <f aca="false">-A123*$E$1-($G$1*TAN(RADIANS($H$1)))-$J$1</f>
        <v>-1014.00957893717</v>
      </c>
    </row>
    <row r="124" customFormat="false" ht="15" hidden="false" customHeight="false" outlineLevel="0" collapsed="false">
      <c r="A124" s="5" t="n">
        <v>0.953437</v>
      </c>
      <c r="B124" s="5" t="n">
        <v>-0.007611</v>
      </c>
      <c r="C124" s="5" t="n">
        <f aca="false">B124*$E$1</f>
        <v>-1.33789846201704</v>
      </c>
      <c r="D124" s="5" t="n">
        <f aca="false">$G$1+$K$1</f>
        <v>35.78915</v>
      </c>
      <c r="E124" s="5" t="n">
        <f aca="false">-A124*$E$1-($G$1*TAN(RADIANS($H$1)))-$J$1</f>
        <v>-1015.89205885173</v>
      </c>
    </row>
    <row r="125" customFormat="false" ht="15" hidden="false" customHeight="false" outlineLevel="0" collapsed="false">
      <c r="A125" s="5" t="n">
        <v>0.963087</v>
      </c>
      <c r="B125" s="5" t="n">
        <v>-0.006324</v>
      </c>
      <c r="C125" s="5" t="n">
        <f aca="false">B125*$E$1</f>
        <v>-1.11166336536536</v>
      </c>
      <c r="D125" s="5" t="n">
        <f aca="false">$G$1+$K$1</f>
        <v>35.78915</v>
      </c>
      <c r="E125" s="5" t="n">
        <f aca="false">-A125*$E$1-($G$1*TAN(RADIANS($H$1)))-$J$1</f>
        <v>-1017.58838261451</v>
      </c>
    </row>
    <row r="126" customFormat="false" ht="15" hidden="false" customHeight="false" outlineLevel="0" collapsed="false">
      <c r="A126" s="5" t="n">
        <v>0.971656</v>
      </c>
      <c r="B126" s="5" t="n">
        <v>-0.005169</v>
      </c>
      <c r="C126" s="5" t="n">
        <f aca="false">B126*$E$1</f>
        <v>-0.908631868370263</v>
      </c>
      <c r="D126" s="5" t="n">
        <f aca="false">$G$1+$K$1</f>
        <v>35.78915</v>
      </c>
      <c r="E126" s="5" t="n">
        <f aca="false">-A126*$E$1-($G$1*TAN(RADIANS($H$1)))-$J$1</f>
        <v>-1019.09468295888</v>
      </c>
    </row>
    <row r="127" customFormat="false" ht="15" hidden="false" customHeight="false" outlineLevel="0" collapsed="false">
      <c r="A127" s="5" t="n">
        <v>0.979123</v>
      </c>
      <c r="B127" s="5" t="n">
        <v>-0.004152</v>
      </c>
      <c r="C127" s="5" t="n">
        <f aca="false">B127*$E$1</f>
        <v>-0.729858680107049</v>
      </c>
      <c r="D127" s="5" t="n">
        <f aca="false">$G$1+$K$1</f>
        <v>35.78915</v>
      </c>
      <c r="E127" s="5" t="n">
        <f aca="false">-A127*$E$1-($G$1*TAN(RADIANS($H$1)))-$J$1</f>
        <v>-1020.40726840309</v>
      </c>
    </row>
    <row r="128" customFormat="false" ht="15" hidden="false" customHeight="false" outlineLevel="0" collapsed="false">
      <c r="A128" s="5" t="n">
        <v>0.985471</v>
      </c>
      <c r="B128" s="5" t="n">
        <v>-0.00328</v>
      </c>
      <c r="C128" s="5" t="n">
        <f aca="false">B128*$E$1</f>
        <v>-0.576574294496898</v>
      </c>
      <c r="D128" s="5" t="n">
        <f aca="false">$G$1+$K$1</f>
        <v>35.78915</v>
      </c>
      <c r="E128" s="5" t="n">
        <f aca="false">-A128*$E$1-($G$1*TAN(RADIANS($H$1)))-$J$1</f>
        <v>-1021.52315060476</v>
      </c>
    </row>
    <row r="129" customFormat="false" ht="15" hidden="false" customHeight="false" outlineLevel="0" collapsed="false">
      <c r="A129" s="5" t="n">
        <v>0.990685</v>
      </c>
      <c r="B129" s="5" t="n">
        <v>-0.00256</v>
      </c>
      <c r="C129" s="5" t="n">
        <f aca="false">B129*$E$1</f>
        <v>-0.450009205460993</v>
      </c>
      <c r="D129" s="5" t="n">
        <f aca="false">$G$1+$K$1</f>
        <v>35.78915</v>
      </c>
      <c r="E129" s="5" t="n">
        <f aca="false">-A129*$E$1-($G$1*TAN(RADIANS($H$1)))-$J$1</f>
        <v>-1022.43969279119</v>
      </c>
    </row>
    <row r="130" customFormat="false" ht="15" hidden="false" customHeight="false" outlineLevel="0" collapsed="false">
      <c r="A130" s="5" t="n">
        <v>0.994753</v>
      </c>
      <c r="B130" s="5" t="n">
        <v>-0.001994</v>
      </c>
      <c r="C130" s="5" t="n">
        <f aca="false">B130*$E$1</f>
        <v>-0.350514982691102</v>
      </c>
      <c r="D130" s="5" t="n">
        <f aca="false">$G$1+$K$1</f>
        <v>35.78915</v>
      </c>
      <c r="E130" s="5" t="n">
        <f aca="false">-A130*$E$1-($G$1*TAN(RADIANS($H$1)))-$J$1</f>
        <v>-1023.15478554424</v>
      </c>
    </row>
    <row r="131" customFormat="false" ht="15" hidden="false" customHeight="false" outlineLevel="0" collapsed="false">
      <c r="A131" s="5" t="n">
        <v>0.997666</v>
      </c>
      <c r="B131" s="5" t="n">
        <v>-0.001587</v>
      </c>
      <c r="C131" s="5" t="n">
        <f aca="false">B131*$E$1</f>
        <v>-0.278970550416639</v>
      </c>
      <c r="D131" s="5" t="n">
        <f aca="false">$G$1+$K$1</f>
        <v>35.78915</v>
      </c>
      <c r="E131" s="5" t="n">
        <f aca="false">-A131*$E$1-($G$1*TAN(RADIANS($H$1)))-$J$1</f>
        <v>-1023.6668468003</v>
      </c>
    </row>
    <row r="132" customFormat="false" ht="15" hidden="false" customHeight="false" outlineLevel="0" collapsed="false">
      <c r="A132" s="5" t="n">
        <v>0.999416</v>
      </c>
      <c r="B132" s="5" t="n">
        <v>-0.001342</v>
      </c>
      <c r="C132" s="5" t="n">
        <f aca="false">B132*$E$1</f>
        <v>-0.235903263175255</v>
      </c>
      <c r="D132" s="5" t="n">
        <f aca="false">$G$1+$K$1</f>
        <v>35.78915</v>
      </c>
      <c r="E132" s="5" t="n">
        <f aca="false">-A132*$E$1-($G$1*TAN(RADIANS($H$1)))-$J$1</f>
        <v>-1023.9744702806</v>
      </c>
    </row>
    <row r="133" customFormat="false" ht="15" hidden="false" customHeight="false" outlineLevel="0" collapsed="false">
      <c r="A133" s="5" t="n">
        <v>1</v>
      </c>
      <c r="B133" s="6" t="n">
        <v>0</v>
      </c>
      <c r="C133" s="5" t="n">
        <f aca="false">B133*$E$1</f>
        <v>0</v>
      </c>
      <c r="D133" s="5" t="n">
        <f aca="false">$G$1+$K$1</f>
        <v>35.78915</v>
      </c>
      <c r="E133" s="5" t="n">
        <f aca="false">-A133*$E$1-($G$1*TAN(RADIANS($H$1)))-$J$1</f>
        <v>-1024.07712863059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13"/>
    <col collapsed="false" customWidth="true" hidden="false" outlineLevel="0" max="11" min="6" style="0" width="17"/>
  </cols>
  <sheetData>
    <row r="1" customFormat="false" ht="15" hidden="false" customHeight="false" outlineLevel="0" collapsed="false">
      <c r="A1" s="1" t="s">
        <v>45</v>
      </c>
      <c r="E1" s="3" t="n">
        <v>93.1659683180963</v>
      </c>
      <c r="F1" s="3" t="n">
        <v>0</v>
      </c>
      <c r="G1" s="3" t="n">
        <v>207.092126934999</v>
      </c>
      <c r="H1" s="3" t="n">
        <v>16.7</v>
      </c>
      <c r="J1" s="3" t="n">
        <v>848.292282747392</v>
      </c>
      <c r="K1" s="3" t="n">
        <v>35.78915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J2" s="4" t="s">
        <v>39</v>
      </c>
      <c r="K2" s="4" t="s">
        <v>44</v>
      </c>
    </row>
    <row r="3" customFormat="false" ht="15" hidden="false" customHeight="false" outlineLevel="0" collapsed="false">
      <c r="A3" s="5" t="n">
        <v>1</v>
      </c>
      <c r="B3" s="6" t="n">
        <v>0</v>
      </c>
      <c r="C3" s="5" t="n">
        <f aca="false">B3*$E$1</f>
        <v>0</v>
      </c>
      <c r="D3" s="5" t="n">
        <f aca="false">$G$1+$K$1</f>
        <v>242.881276934999</v>
      </c>
      <c r="E3" s="5" t="n">
        <f aca="false">-A3*$E$1-($G$1*TAN(RADIANS($H$1)))-$J$1</f>
        <v>-1003.5888666786</v>
      </c>
      <c r="G3" s="4" t="s">
        <v>40</v>
      </c>
    </row>
    <row r="4" customFormat="false" ht="15" hidden="false" customHeight="false" outlineLevel="0" collapsed="false">
      <c r="A4" s="5" t="n">
        <v>0.999416</v>
      </c>
      <c r="B4" s="5" t="n">
        <v>0.001342</v>
      </c>
      <c r="C4" s="5" t="n">
        <f aca="false">B4*$E$1</f>
        <v>0.125028729482885</v>
      </c>
      <c r="D4" s="5" t="n">
        <f aca="false">$G$1+$K$1</f>
        <v>242.881276934999</v>
      </c>
      <c r="E4" s="5" t="n">
        <f aca="false">-A4*$E$1-($G$1*TAN(RADIANS($H$1)))-$J$1</f>
        <v>-1003.5344577531</v>
      </c>
      <c r="G4" s="4" t="s">
        <v>41</v>
      </c>
    </row>
    <row r="5" customFormat="false" ht="15" hidden="false" customHeight="false" outlineLevel="0" collapsed="false">
      <c r="A5" s="5" t="n">
        <v>0.997666</v>
      </c>
      <c r="B5" s="5" t="n">
        <v>0.001587</v>
      </c>
      <c r="C5" s="5" t="n">
        <f aca="false">B5*$E$1</f>
        <v>0.147854391720819</v>
      </c>
      <c r="D5" s="5" t="n">
        <f aca="false">$G$1+$K$1</f>
        <v>242.881276934999</v>
      </c>
      <c r="E5" s="5" t="n">
        <f aca="false">-A5*$E$1-($G$1*TAN(RADIANS($H$1)))-$J$1</f>
        <v>-1003.37141730854</v>
      </c>
    </row>
    <row r="6" customFormat="false" ht="15" hidden="false" customHeight="false" outlineLevel="0" collapsed="false">
      <c r="A6" s="5" t="n">
        <v>0.994753</v>
      </c>
      <c r="B6" s="5" t="n">
        <v>0.001994</v>
      </c>
      <c r="C6" s="5" t="n">
        <f aca="false">B6*$E$1</f>
        <v>0.185772940826284</v>
      </c>
      <c r="D6" s="5" t="n">
        <f aca="false">$G$1+$K$1</f>
        <v>242.881276934999</v>
      </c>
      <c r="E6" s="5" t="n">
        <f aca="false">-A6*$E$1-($G$1*TAN(RADIANS($H$1)))-$J$1</f>
        <v>-1003.10002484283</v>
      </c>
    </row>
    <row r="7" customFormat="false" ht="15" hidden="false" customHeight="false" outlineLevel="0" collapsed="false">
      <c r="A7" s="5" t="n">
        <v>0.990685</v>
      </c>
      <c r="B7" s="5" t="n">
        <v>0.00256</v>
      </c>
      <c r="C7" s="5" t="n">
        <f aca="false">B7*$E$1</f>
        <v>0.238504878894326</v>
      </c>
      <c r="D7" s="5" t="n">
        <f aca="false">$G$1+$K$1</f>
        <v>242.881276934999</v>
      </c>
      <c r="E7" s="5" t="n">
        <f aca="false">-A7*$E$1-($G$1*TAN(RADIANS($H$1)))-$J$1</f>
        <v>-1002.72102568371</v>
      </c>
    </row>
    <row r="8" customFormat="false" ht="15" hidden="false" customHeight="false" outlineLevel="0" collapsed="false">
      <c r="A8" s="5" t="n">
        <v>0.985471</v>
      </c>
      <c r="B8" s="5" t="n">
        <v>0.00328</v>
      </c>
      <c r="C8" s="5" t="n">
        <f aca="false">B8*$E$1</f>
        <v>0.305584376083356</v>
      </c>
      <c r="D8" s="5" t="n">
        <f aca="false">$G$1+$K$1</f>
        <v>242.881276934999</v>
      </c>
      <c r="E8" s="5" t="n">
        <f aca="false">-A8*$E$1-($G$1*TAN(RADIANS($H$1)))-$J$1</f>
        <v>-1002.2352583249</v>
      </c>
    </row>
    <row r="9" customFormat="false" ht="15" hidden="false" customHeight="false" outlineLevel="0" collapsed="false">
      <c r="A9" s="5" t="n">
        <v>0.979123</v>
      </c>
      <c r="B9" s="5" t="n">
        <v>0.004152</v>
      </c>
      <c r="C9" s="5" t="n">
        <f aca="false">B9*$E$1</f>
        <v>0.386825100456736</v>
      </c>
      <c r="D9" s="5" t="n">
        <f aca="false">$G$1+$K$1</f>
        <v>242.881276934999</v>
      </c>
      <c r="E9" s="5" t="n">
        <f aca="false">-A9*$E$1-($G$1*TAN(RADIANS($H$1)))-$J$1</f>
        <v>-1001.64384075802</v>
      </c>
    </row>
    <row r="10" customFormat="false" ht="15" hidden="false" customHeight="false" outlineLevel="0" collapsed="false">
      <c r="A10" s="5" t="n">
        <v>0.971656</v>
      </c>
      <c r="B10" s="5" t="n">
        <v>0.005169</v>
      </c>
      <c r="C10" s="5" t="n">
        <f aca="false">B10*$E$1</f>
        <v>0.48157489023624</v>
      </c>
      <c r="D10" s="5" t="n">
        <f aca="false">$G$1+$K$1</f>
        <v>242.881276934999</v>
      </c>
      <c r="E10" s="5" t="n">
        <f aca="false">-A10*$E$1-($G$1*TAN(RADIANS($H$1)))-$J$1</f>
        <v>-1000.94817047259</v>
      </c>
    </row>
    <row r="11" customFormat="false" ht="15" hidden="false" customHeight="false" outlineLevel="0" collapsed="false">
      <c r="A11" s="5" t="n">
        <v>0.963087</v>
      </c>
      <c r="B11" s="5" t="n">
        <v>0.006324</v>
      </c>
      <c r="C11" s="5" t="n">
        <f aca="false">B11*$E$1</f>
        <v>0.589181583643641</v>
      </c>
      <c r="D11" s="5" t="n">
        <f aca="false">$G$1+$K$1</f>
        <v>242.881276934999</v>
      </c>
      <c r="E11" s="5" t="n">
        <f aca="false">-A11*$E$1-($G$1*TAN(RADIANS($H$1)))-$J$1</f>
        <v>-1000.14983129007</v>
      </c>
    </row>
    <row r="12" customFormat="false" ht="15" hidden="false" customHeight="false" outlineLevel="0" collapsed="false">
      <c r="A12" s="5" t="n">
        <v>0.953437</v>
      </c>
      <c r="B12" s="5" t="n">
        <v>0.007611</v>
      </c>
      <c r="C12" s="5" t="n">
        <f aca="false">B12*$E$1</f>
        <v>0.709086184869031</v>
      </c>
      <c r="D12" s="5" t="n">
        <f aca="false">$G$1+$K$1</f>
        <v>242.881276934999</v>
      </c>
      <c r="E12" s="5" t="n">
        <f aca="false">-A12*$E$1-($G$1*TAN(RADIANS($H$1)))-$J$1</f>
        <v>-999.250779695802</v>
      </c>
    </row>
    <row r="13" customFormat="false" ht="15" hidden="false" customHeight="false" outlineLevel="0" collapsed="false">
      <c r="A13" s="5" t="n">
        <v>0.942728</v>
      </c>
      <c r="B13" s="5" t="n">
        <v>0.009022</v>
      </c>
      <c r="C13" s="5" t="n">
        <f aca="false">B13*$E$1</f>
        <v>0.840543366165865</v>
      </c>
      <c r="D13" s="5" t="n">
        <f aca="false">$G$1+$K$1</f>
        <v>242.881276934999</v>
      </c>
      <c r="E13" s="5" t="n">
        <f aca="false">-A13*$E$1-($G$1*TAN(RADIANS($H$1)))-$J$1</f>
        <v>-998.253065341084</v>
      </c>
    </row>
    <row r="14" customFormat="false" ht="15" hidden="false" customHeight="false" outlineLevel="0" collapsed="false">
      <c r="A14" s="5" t="n">
        <v>0.930985</v>
      </c>
      <c r="B14" s="5" t="n">
        <v>0.010549</v>
      </c>
      <c r="C14" s="5" t="n">
        <f aca="false">B14*$E$1</f>
        <v>0.982807799787598</v>
      </c>
      <c r="D14" s="5" t="n">
        <f aca="false">$G$1+$K$1</f>
        <v>242.881276934999</v>
      </c>
      <c r="E14" s="5" t="n">
        <f aca="false">-A14*$E$1-($G$1*TAN(RADIANS($H$1)))-$J$1</f>
        <v>-997.159017375124</v>
      </c>
    </row>
    <row r="15" customFormat="false" ht="15" hidden="false" customHeight="false" outlineLevel="0" collapsed="false">
      <c r="A15" s="5" t="n">
        <v>0.918235</v>
      </c>
      <c r="B15" s="5" t="n">
        <v>0.012182</v>
      </c>
      <c r="C15" s="5" t="n">
        <f aca="false">B15*$E$1</f>
        <v>1.13494782605105</v>
      </c>
      <c r="D15" s="5" t="n">
        <f aca="false">$G$1+$K$1</f>
        <v>242.881276934999</v>
      </c>
      <c r="E15" s="5" t="n">
        <f aca="false">-A15*$E$1-($G$1*TAN(RADIANS($H$1)))-$J$1</f>
        <v>-995.971151279069</v>
      </c>
    </row>
    <row r="16" customFormat="false" ht="15" hidden="false" customHeight="false" outlineLevel="0" collapsed="false">
      <c r="A16" s="5" t="n">
        <v>0.904509</v>
      </c>
      <c r="B16" s="5" t="n">
        <v>0.013914</v>
      </c>
      <c r="C16" s="5" t="n">
        <f aca="false">B16*$E$1</f>
        <v>1.29631128317799</v>
      </c>
      <c r="D16" s="5" t="n">
        <f aca="false">$G$1+$K$1</f>
        <v>242.881276934999</v>
      </c>
      <c r="E16" s="5" t="n">
        <f aca="false">-A16*$E$1-($G$1*TAN(RADIANS($H$1)))-$J$1</f>
        <v>-994.692355197934</v>
      </c>
    </row>
    <row r="17" customFormat="false" ht="15" hidden="false" customHeight="false" outlineLevel="0" collapsed="false">
      <c r="A17" s="5" t="n">
        <v>0.889837</v>
      </c>
      <c r="B17" s="5" t="n">
        <v>0.015735</v>
      </c>
      <c r="C17" s="5" t="n">
        <f aca="false">B17*$E$1</f>
        <v>1.46596651148524</v>
      </c>
      <c r="D17" s="5" t="n">
        <f aca="false">$G$1+$K$1</f>
        <v>242.881276934999</v>
      </c>
      <c r="E17" s="5" t="n">
        <f aca="false">-A17*$E$1-($G$1*TAN(RADIANS($H$1)))-$J$1</f>
        <v>-993.325424110771</v>
      </c>
    </row>
    <row r="18" customFormat="false" ht="15" hidden="false" customHeight="false" outlineLevel="0" collapsed="false">
      <c r="A18" s="5" t="n">
        <v>0.874255</v>
      </c>
      <c r="B18" s="5" t="n">
        <v>0.017635</v>
      </c>
      <c r="C18" s="5" t="n">
        <f aca="false">B18*$E$1</f>
        <v>1.64298185128963</v>
      </c>
      <c r="D18" s="5" t="n">
        <f aca="false">$G$1+$K$1</f>
        <v>242.881276934999</v>
      </c>
      <c r="E18" s="5" t="n">
        <f aca="false">-A18*$E$1-($G$1*TAN(RADIANS($H$1)))-$J$1</f>
        <v>-991.873711992439</v>
      </c>
    </row>
    <row r="19" customFormat="false" ht="15" hidden="false" customHeight="false" outlineLevel="0" collapsed="false">
      <c r="A19" s="5" t="n">
        <v>0.8578</v>
      </c>
      <c r="B19" s="5" t="n">
        <v>0.019605</v>
      </c>
      <c r="C19" s="5" t="n">
        <f aca="false">B19*$E$1</f>
        <v>1.82651880887628</v>
      </c>
      <c r="D19" s="5" t="n">
        <f aca="false">$G$1+$K$1</f>
        <v>242.881276934999</v>
      </c>
      <c r="E19" s="5" t="n">
        <f aca="false">-A19*$E$1-($G$1*TAN(RADIANS($H$1)))-$J$1</f>
        <v>-990.340665983764</v>
      </c>
    </row>
    <row r="20" customFormat="false" ht="15" hidden="false" customHeight="false" outlineLevel="0" collapsed="false">
      <c r="A20" s="5" t="n">
        <v>0.840508</v>
      </c>
      <c r="B20" s="5" t="n">
        <v>0.021635</v>
      </c>
      <c r="C20" s="5" t="n">
        <f aca="false">B20*$E$1</f>
        <v>2.01564572456201</v>
      </c>
      <c r="D20" s="5" t="n">
        <f aca="false">$G$1+$K$1</f>
        <v>242.881276934999</v>
      </c>
      <c r="E20" s="5" t="n">
        <f aca="false">-A20*$E$1-($G$1*TAN(RADIANS($H$1)))-$J$1</f>
        <v>-988.729640059608</v>
      </c>
    </row>
    <row r="21" customFormat="false" ht="15" hidden="false" customHeight="false" outlineLevel="0" collapsed="false">
      <c r="A21" s="5" t="n">
        <v>0.822421</v>
      </c>
      <c r="B21" s="5" t="n">
        <v>0.023714</v>
      </c>
      <c r="C21" s="5" t="n">
        <f aca="false">B21*$E$1</f>
        <v>2.20933777269534</v>
      </c>
      <c r="D21" s="5" t="n">
        <f aca="false">$G$1+$K$1</f>
        <v>242.881276934999</v>
      </c>
      <c r="E21" s="5" t="n">
        <f aca="false">-A21*$E$1-($G$1*TAN(RADIANS($H$1)))-$J$1</f>
        <v>-987.044547190639</v>
      </c>
    </row>
    <row r="22" customFormat="false" ht="15" hidden="false" customHeight="false" outlineLevel="0" collapsed="false">
      <c r="A22" s="5" t="n">
        <v>0.803581</v>
      </c>
      <c r="B22" s="5" t="n">
        <v>0.025834</v>
      </c>
      <c r="C22" s="5" t="n">
        <f aca="false">B22*$E$1</f>
        <v>2.4068496255297</v>
      </c>
      <c r="D22" s="5" t="n">
        <f aca="false">$G$1+$K$1</f>
        <v>242.881276934999</v>
      </c>
      <c r="E22" s="5" t="n">
        <f aca="false">-A22*$E$1-($G$1*TAN(RADIANS($H$1)))-$J$1</f>
        <v>-985.289300347526</v>
      </c>
    </row>
    <row r="23" customFormat="false" ht="15" hidden="false" customHeight="false" outlineLevel="0" collapsed="false">
      <c r="A23" s="5" t="n">
        <v>0.784032</v>
      </c>
      <c r="B23" s="5" t="n">
        <v>0.027983</v>
      </c>
      <c r="C23" s="5" t="n">
        <f aca="false">B23*$E$1</f>
        <v>2.60706329144529</v>
      </c>
      <c r="D23" s="5" t="n">
        <f aca="false">$G$1+$K$1</f>
        <v>242.881276934999</v>
      </c>
      <c r="E23" s="5" t="n">
        <f aca="false">-A23*$E$1-($G$1*TAN(RADIANS($H$1)))-$J$1</f>
        <v>-983.467998832875</v>
      </c>
    </row>
    <row r="24" customFormat="false" ht="15" hidden="false" customHeight="false" outlineLevel="0" collapsed="false">
      <c r="A24" s="5" t="n">
        <v>0.76382</v>
      </c>
      <c r="B24" s="5" t="n">
        <v>0.030152</v>
      </c>
      <c r="C24" s="5" t="n">
        <f aca="false">B24*$E$1</f>
        <v>2.80914027672724</v>
      </c>
      <c r="D24" s="5" t="n">
        <f aca="false">$G$1+$K$1</f>
        <v>242.881276934999</v>
      </c>
      <c r="E24" s="5" t="n">
        <f aca="false">-A24*$E$1-($G$1*TAN(RADIANS($H$1)))-$J$1</f>
        <v>-981.58492828123</v>
      </c>
    </row>
    <row r="25" customFormat="false" ht="15" hidden="false" customHeight="false" outlineLevel="0" collapsed="false">
      <c r="A25" s="5" t="n">
        <v>0.742992</v>
      </c>
      <c r="B25" s="5" t="n">
        <v>0.032329</v>
      </c>
      <c r="C25" s="5" t="n">
        <f aca="false">B25*$E$1</f>
        <v>3.01196258975573</v>
      </c>
      <c r="D25" s="5" t="n">
        <f aca="false">$G$1+$K$1</f>
        <v>242.881276934999</v>
      </c>
      <c r="E25" s="5" t="n">
        <f aca="false">-A25*$E$1-($G$1*TAN(RADIANS($H$1)))-$J$1</f>
        <v>-979.6444674931</v>
      </c>
    </row>
    <row r="26" customFormat="false" ht="15" hidden="false" customHeight="false" outlineLevel="0" collapsed="false">
      <c r="A26" s="5" t="n">
        <v>0.721596</v>
      </c>
      <c r="B26" s="5" t="n">
        <v>0.034506</v>
      </c>
      <c r="C26" s="5" t="n">
        <f aca="false">B26*$E$1</f>
        <v>3.21478490278423</v>
      </c>
      <c r="D26" s="5" t="n">
        <f aca="false">$G$1+$K$1</f>
        <v>242.881276934999</v>
      </c>
      <c r="E26" s="5" t="n">
        <f aca="false">-A26*$E$1-($G$1*TAN(RADIANS($H$1)))-$J$1</f>
        <v>-977.651088434967</v>
      </c>
    </row>
    <row r="27" customFormat="false" ht="15" hidden="false" customHeight="false" outlineLevel="0" collapsed="false">
      <c r="A27" s="5" t="n">
        <v>0.699682</v>
      </c>
      <c r="B27" s="5" t="n">
        <v>0.03667</v>
      </c>
      <c r="C27" s="5" t="n">
        <f aca="false">B27*$E$1</f>
        <v>3.41639605822459</v>
      </c>
      <c r="D27" s="5" t="n">
        <f aca="false">$G$1+$K$1</f>
        <v>242.881276934999</v>
      </c>
      <c r="E27" s="5" t="n">
        <f aca="false">-A27*$E$1-($G$1*TAN(RADIANS($H$1)))-$J$1</f>
        <v>-975.609449405244</v>
      </c>
    </row>
    <row r="28" customFormat="false" ht="15" hidden="false" customHeight="false" outlineLevel="0" collapsed="false">
      <c r="A28" s="5" t="n">
        <v>0.677303</v>
      </c>
      <c r="B28" s="5" t="n">
        <v>0.038811</v>
      </c>
      <c r="C28" s="5" t="n">
        <f aca="false">B28*$E$1</f>
        <v>3.61586439639363</v>
      </c>
      <c r="D28" s="5" t="n">
        <f aca="false">$G$1+$K$1</f>
        <v>242.881276934999</v>
      </c>
      <c r="E28" s="5" t="n">
        <f aca="false">-A28*$E$1-($G$1*TAN(RADIANS($H$1)))-$J$1</f>
        <v>-973.524488200253</v>
      </c>
    </row>
    <row r="29" customFormat="false" ht="15" hidden="false" customHeight="false" outlineLevel="0" collapsed="false">
      <c r="A29" s="5" t="n">
        <v>0.654509</v>
      </c>
      <c r="B29" s="5" t="n">
        <v>0.040917</v>
      </c>
      <c r="C29" s="5" t="n">
        <f aca="false">B29*$E$1</f>
        <v>3.81207192567155</v>
      </c>
      <c r="D29" s="5" t="n">
        <f aca="false">$G$1+$K$1</f>
        <v>242.881276934999</v>
      </c>
      <c r="E29" s="5" t="n">
        <f aca="false">-A29*$E$1-($G$1*TAN(RADIANS($H$1)))-$J$1</f>
        <v>-971.40086311841</v>
      </c>
    </row>
    <row r="30" customFormat="false" ht="15" hidden="false" customHeight="false" outlineLevel="0" collapsed="false">
      <c r="A30" s="5" t="n">
        <v>0.631354</v>
      </c>
      <c r="B30" s="5" t="n">
        <v>0.042978</v>
      </c>
      <c r="C30" s="5" t="n">
        <f aca="false">B30*$E$1</f>
        <v>4.00408698637514</v>
      </c>
      <c r="D30" s="5" t="n">
        <f aca="false">$G$1+$K$1</f>
        <v>242.881276934999</v>
      </c>
      <c r="E30" s="5" t="n">
        <f aca="false">-A30*$E$1-($G$1*TAN(RADIANS($H$1)))-$J$1</f>
        <v>-969.243605122005</v>
      </c>
    </row>
    <row r="31" customFormat="false" ht="15" hidden="false" customHeight="false" outlineLevel="0" collapsed="false">
      <c r="A31" s="5" t="n">
        <v>0.607892</v>
      </c>
      <c r="B31" s="5" t="n">
        <v>0.04498</v>
      </c>
      <c r="C31" s="5" t="n">
        <f aca="false">B31*$E$1</f>
        <v>4.19060525494797</v>
      </c>
      <c r="D31" s="5" t="n">
        <f aca="false">$G$1+$K$1</f>
        <v>242.881276934999</v>
      </c>
      <c r="E31" s="5" t="n">
        <f aca="false">-A31*$E$1-($G$1*TAN(RADIANS($H$1)))-$J$1</f>
        <v>-967.057745173326</v>
      </c>
    </row>
    <row r="32" customFormat="false" ht="15" hidden="false" customHeight="false" outlineLevel="0" collapsed="false">
      <c r="A32" s="5" t="n">
        <v>0.584179</v>
      </c>
      <c r="B32" s="5" t="n">
        <v>0.046912</v>
      </c>
      <c r="C32" s="5" t="n">
        <f aca="false">B32*$E$1</f>
        <v>4.37060190573853</v>
      </c>
      <c r="D32" s="5" t="n">
        <f aca="false">$G$1+$K$1</f>
        <v>242.881276934999</v>
      </c>
      <c r="E32" s="5" t="n">
        <f aca="false">-A32*$E$1-($G$1*TAN(RADIANS($H$1)))-$J$1</f>
        <v>-964.848500566599</v>
      </c>
    </row>
    <row r="33" customFormat="false" ht="15" hidden="false" customHeight="false" outlineLevel="0" collapsed="false">
      <c r="A33" s="5" t="n">
        <v>0.560268</v>
      </c>
      <c r="B33" s="5" t="n">
        <v>0.048762</v>
      </c>
      <c r="C33" s="5" t="n">
        <f aca="false">B33*$E$1</f>
        <v>4.54295894712701</v>
      </c>
      <c r="D33" s="5" t="n">
        <f aca="false">$G$1+$K$1</f>
        <v>242.881276934999</v>
      </c>
      <c r="E33" s="5" t="n">
        <f aca="false">-A33*$E$1-($G$1*TAN(RADIANS($H$1)))-$J$1</f>
        <v>-962.620809098145</v>
      </c>
    </row>
    <row r="34" customFormat="false" ht="15" hidden="false" customHeight="false" outlineLevel="0" collapsed="false">
      <c r="A34" s="5" t="n">
        <v>0.536217</v>
      </c>
      <c r="B34" s="5" t="n">
        <v>0.050516</v>
      </c>
      <c r="C34" s="5" t="n">
        <f aca="false">B34*$E$1</f>
        <v>4.70637205555695</v>
      </c>
      <c r="D34" s="5" t="n">
        <f aca="false">$G$1+$K$1</f>
        <v>242.881276934999</v>
      </c>
      <c r="E34" s="5" t="n">
        <f aca="false">-A34*$E$1-($G$1*TAN(RADIANS($H$1)))-$J$1</f>
        <v>-960.380074394126</v>
      </c>
    </row>
    <row r="35" customFormat="false" ht="15" hidden="false" customHeight="false" outlineLevel="0" collapsed="false">
      <c r="A35" s="5" t="n">
        <v>0.512082</v>
      </c>
      <c r="B35" s="5" t="n">
        <v>0.052162</v>
      </c>
      <c r="C35" s="5" t="n">
        <f aca="false">B35*$E$1</f>
        <v>4.85972323940854</v>
      </c>
      <c r="D35" s="5" t="n">
        <f aca="false">$G$1+$K$1</f>
        <v>242.881276934999</v>
      </c>
      <c r="E35" s="5" t="n">
        <f aca="false">-A35*$E$1-($G$1*TAN(RADIANS($H$1)))-$J$1</f>
        <v>-958.131513748769</v>
      </c>
    </row>
    <row r="36" customFormat="false" ht="15" hidden="false" customHeight="false" outlineLevel="0" collapsed="false">
      <c r="A36" s="5" t="n">
        <v>0.487918</v>
      </c>
      <c r="B36" s="5" t="n">
        <v>0.053687</v>
      </c>
      <c r="C36" s="5" t="n">
        <f aca="false">B36*$E$1</f>
        <v>5.00180134109364</v>
      </c>
      <c r="D36" s="5" t="n">
        <f aca="false">$G$1+$K$1</f>
        <v>242.881276934999</v>
      </c>
      <c r="E36" s="5" t="n">
        <f aca="false">-A36*$E$1-($G$1*TAN(RADIANS($H$1)))-$J$1</f>
        <v>-955.88025129033</v>
      </c>
    </row>
    <row r="37" customFormat="false" ht="15" hidden="false" customHeight="false" outlineLevel="0" collapsed="false">
      <c r="A37" s="5" t="n">
        <v>0.463783</v>
      </c>
      <c r="B37" s="5" t="n">
        <v>0.055077</v>
      </c>
      <c r="C37" s="5" t="n">
        <f aca="false">B37*$E$1</f>
        <v>5.13130203705579</v>
      </c>
      <c r="D37" s="5" t="n">
        <f aca="false">$G$1+$K$1</f>
        <v>242.881276934999</v>
      </c>
      <c r="E37" s="5" t="n">
        <f aca="false">-A37*$E$1-($G$1*TAN(RADIANS($H$1)))-$J$1</f>
        <v>-953.631690644973</v>
      </c>
    </row>
    <row r="38" customFormat="false" ht="15" hidden="false" customHeight="false" outlineLevel="0" collapsed="false">
      <c r="A38" s="5" t="n">
        <v>0.439732</v>
      </c>
      <c r="B38" s="5" t="n">
        <v>0.05632</v>
      </c>
      <c r="C38" s="5" t="n">
        <f aca="false">B38*$E$1</f>
        <v>5.24710733567518</v>
      </c>
      <c r="D38" s="5" t="n">
        <f aca="false">$G$1+$K$1</f>
        <v>242.881276934999</v>
      </c>
      <c r="E38" s="5" t="n">
        <f aca="false">-A38*$E$1-($G$1*TAN(RADIANS($H$1)))-$J$1</f>
        <v>-951.390955940955</v>
      </c>
    </row>
    <row r="39" customFormat="false" ht="15" hidden="false" customHeight="false" outlineLevel="0" collapsed="false">
      <c r="A39" s="5" t="n">
        <v>0.415822</v>
      </c>
      <c r="B39" s="5" t="n">
        <v>0.057403</v>
      </c>
      <c r="C39" s="5" t="n">
        <f aca="false">B39*$E$1</f>
        <v>5.34800607936368</v>
      </c>
      <c r="D39" s="5" t="n">
        <f aca="false">$G$1+$K$1</f>
        <v>242.881276934999</v>
      </c>
      <c r="E39" s="5" t="n">
        <f aca="false">-A39*$E$1-($G$1*TAN(RADIANS($H$1)))-$J$1</f>
        <v>-949.163357638469</v>
      </c>
    </row>
    <row r="40" customFormat="false" ht="15" hidden="false" customHeight="false" outlineLevel="0" collapsed="false">
      <c r="A40" s="5" t="n">
        <v>0.392108</v>
      </c>
      <c r="B40" s="5" t="n">
        <v>0.058314</v>
      </c>
      <c r="C40" s="5" t="n">
        <f aca="false">B40*$E$1</f>
        <v>5.43288027650147</v>
      </c>
      <c r="D40" s="5" t="n">
        <f aca="false">$G$1+$K$1</f>
        <v>242.881276934999</v>
      </c>
      <c r="E40" s="5" t="n">
        <f aca="false">-A40*$E$1-($G$1*TAN(RADIANS($H$1)))-$J$1</f>
        <v>-946.954019865774</v>
      </c>
    </row>
    <row r="41" customFormat="false" ht="15" hidden="false" customHeight="false" outlineLevel="0" collapsed="false">
      <c r="A41" s="5" t="n">
        <v>0.368646</v>
      </c>
      <c r="B41" s="5" t="n">
        <v>0.059042</v>
      </c>
      <c r="C41" s="5" t="n">
        <f aca="false">B41*$E$1</f>
        <v>5.50070510143704</v>
      </c>
      <c r="D41" s="5" t="n">
        <f aca="false">$G$1+$K$1</f>
        <v>242.881276934999</v>
      </c>
      <c r="E41" s="5" t="n">
        <f aca="false">-A41*$E$1-($G$1*TAN(RADIANS($H$1)))-$J$1</f>
        <v>-944.768159917094</v>
      </c>
    </row>
    <row r="42" customFormat="false" ht="15" hidden="false" customHeight="false" outlineLevel="0" collapsed="false">
      <c r="A42" s="5" t="n">
        <v>0.345492</v>
      </c>
      <c r="B42" s="5" t="n">
        <v>0.059575</v>
      </c>
      <c r="C42" s="5" t="n">
        <f aca="false">B42*$E$1</f>
        <v>5.55036256255059</v>
      </c>
      <c r="D42" s="5" t="n">
        <f aca="false">$G$1+$K$1</f>
        <v>242.881276934999</v>
      </c>
      <c r="E42" s="5" t="n">
        <f aca="false">-A42*$E$1-($G$1*TAN(RADIANS($H$1)))-$J$1</f>
        <v>-942.610995086657</v>
      </c>
    </row>
    <row r="43" customFormat="false" ht="15" hidden="false" customHeight="false" outlineLevel="0" collapsed="false">
      <c r="A43" s="5" t="n">
        <v>0.322698</v>
      </c>
      <c r="B43" s="5" t="n">
        <v>0.059903</v>
      </c>
      <c r="C43" s="5" t="n">
        <f aca="false">B43*$E$1</f>
        <v>5.58092100015892</v>
      </c>
      <c r="D43" s="5" t="n">
        <f aca="false">$G$1+$K$1</f>
        <v>242.881276934999</v>
      </c>
      <c r="E43" s="5" t="n">
        <f aca="false">-A43*$E$1-($G$1*TAN(RADIANS($H$1)))-$J$1</f>
        <v>-940.487370004815</v>
      </c>
    </row>
    <row r="44" customFormat="false" ht="15" hidden="false" customHeight="false" outlineLevel="0" collapsed="false">
      <c r="A44" s="5" t="n">
        <v>0.300318</v>
      </c>
      <c r="B44" s="5" t="n">
        <v>0.060017</v>
      </c>
      <c r="C44" s="5" t="n">
        <f aca="false">B44*$E$1</f>
        <v>5.59154192054719</v>
      </c>
      <c r="D44" s="5" t="n">
        <f aca="false">$G$1+$K$1</f>
        <v>242.881276934999</v>
      </c>
      <c r="E44" s="5" t="n">
        <f aca="false">-A44*$E$1-($G$1*TAN(RADIANS($H$1)))-$J$1</f>
        <v>-938.402315633855</v>
      </c>
    </row>
    <row r="45" customFormat="false" ht="15" hidden="false" customHeight="false" outlineLevel="0" collapsed="false">
      <c r="A45" s="5" t="n">
        <v>0.278404</v>
      </c>
      <c r="B45" s="5" t="n">
        <v>0.05991</v>
      </c>
      <c r="C45" s="5" t="n">
        <f aca="false">B45*$E$1</f>
        <v>5.58157316193715</v>
      </c>
      <c r="D45" s="5" t="n">
        <f aca="false">$G$1+$K$1</f>
        <v>242.881276934999</v>
      </c>
      <c r="E45" s="5" t="n">
        <f aca="false">-A45*$E$1-($G$1*TAN(RADIANS($H$1)))-$J$1</f>
        <v>-936.360676604133</v>
      </c>
    </row>
    <row r="46" customFormat="false" ht="15" hidden="false" customHeight="false" outlineLevel="0" collapsed="false">
      <c r="A46" s="5" t="n">
        <v>0.257008</v>
      </c>
      <c r="B46" s="5" t="n">
        <v>0.059576</v>
      </c>
      <c r="C46" s="5" t="n">
        <f aca="false">B46*$E$1</f>
        <v>5.5504557285189</v>
      </c>
      <c r="D46" s="5" t="n">
        <f aca="false">$G$1+$K$1</f>
        <v>242.881276934999</v>
      </c>
      <c r="E46" s="5" t="n">
        <f aca="false">-A46*$E$1-($G$1*TAN(RADIANS($H$1)))-$J$1</f>
        <v>-934.367297545999</v>
      </c>
    </row>
    <row r="47" customFormat="false" ht="15" hidden="false" customHeight="false" outlineLevel="0" collapsed="false">
      <c r="A47" s="5" t="n">
        <v>0.23618</v>
      </c>
      <c r="B47" s="5" t="n">
        <v>0.059008</v>
      </c>
      <c r="C47" s="5" t="n">
        <f aca="false">B47*$E$1</f>
        <v>5.49753745851423</v>
      </c>
      <c r="D47" s="5" t="n">
        <f aca="false">$G$1+$K$1</f>
        <v>242.881276934999</v>
      </c>
      <c r="E47" s="5" t="n">
        <f aca="false">-A47*$E$1-($G$1*TAN(RADIANS($H$1)))-$J$1</f>
        <v>-932.426836757869</v>
      </c>
    </row>
    <row r="48" customFormat="false" ht="15" hidden="false" customHeight="false" outlineLevel="0" collapsed="false">
      <c r="A48" s="5" t="n">
        <v>0.215968</v>
      </c>
      <c r="B48" s="5" t="n">
        <v>0.058205</v>
      </c>
      <c r="C48" s="5" t="n">
        <f aca="false">B48*$E$1</f>
        <v>5.42272518595479</v>
      </c>
      <c r="D48" s="5" t="n">
        <f aca="false">$G$1+$K$1</f>
        <v>242.881276934999</v>
      </c>
      <c r="E48" s="5" t="n">
        <f aca="false">-A48*$E$1-($G$1*TAN(RADIANS($H$1)))-$J$1</f>
        <v>-930.543766206224</v>
      </c>
    </row>
    <row r="49" customFormat="false" ht="15" hidden="false" customHeight="false" outlineLevel="0" collapsed="false">
      <c r="A49" s="5" t="n">
        <v>0.196419</v>
      </c>
      <c r="B49" s="5" t="n">
        <v>0.057164</v>
      </c>
      <c r="C49" s="5" t="n">
        <f aca="false">B49*$E$1</f>
        <v>5.32573941293566</v>
      </c>
      <c r="D49" s="5" t="n">
        <f aca="false">$G$1+$K$1</f>
        <v>242.881276934999</v>
      </c>
      <c r="E49" s="5" t="n">
        <f aca="false">-A49*$E$1-($G$1*TAN(RADIANS($H$1)))-$J$1</f>
        <v>-928.722464691574</v>
      </c>
    </row>
    <row r="50" customFormat="false" ht="15" hidden="false" customHeight="false" outlineLevel="0" collapsed="false">
      <c r="A50" s="5" t="n">
        <v>0.177579</v>
      </c>
      <c r="B50" s="5" t="n">
        <v>0.055886</v>
      </c>
      <c r="C50" s="5" t="n">
        <f aca="false">B50*$E$1</f>
        <v>5.20667330542513</v>
      </c>
      <c r="D50" s="5" t="n">
        <f aca="false">$G$1+$K$1</f>
        <v>242.881276934999</v>
      </c>
      <c r="E50" s="5" t="n">
        <f aca="false">-A50*$E$1-($G$1*TAN(RADIANS($H$1)))-$J$1</f>
        <v>-926.967217848461</v>
      </c>
    </row>
    <row r="51" customFormat="false" ht="15" hidden="false" customHeight="false" outlineLevel="0" collapsed="false">
      <c r="A51" s="5" t="n">
        <v>0.159492</v>
      </c>
      <c r="B51" s="5" t="n">
        <v>0.054372</v>
      </c>
      <c r="C51" s="5" t="n">
        <f aca="false">B51*$E$1</f>
        <v>5.06562002939153</v>
      </c>
      <c r="D51" s="5" t="n">
        <f aca="false">$G$1+$K$1</f>
        <v>242.881276934999</v>
      </c>
      <c r="E51" s="5" t="n">
        <f aca="false">-A51*$E$1-($G$1*TAN(RADIANS($H$1)))-$J$1</f>
        <v>-925.282124979491</v>
      </c>
    </row>
    <row r="52" customFormat="false" ht="15" hidden="false" customHeight="false" outlineLevel="0" collapsed="false">
      <c r="A52" s="5" t="n">
        <v>0.142201</v>
      </c>
      <c r="B52" s="5" t="n">
        <v>0.052625</v>
      </c>
      <c r="C52" s="5" t="n">
        <f aca="false">B52*$E$1</f>
        <v>4.90285908273982</v>
      </c>
      <c r="D52" s="5" t="n">
        <f aca="false">$G$1+$K$1</f>
        <v>242.881276934999</v>
      </c>
      <c r="E52" s="5" t="n">
        <f aca="false">-A52*$E$1-($G$1*TAN(RADIANS($H$1)))-$J$1</f>
        <v>-923.671192221303</v>
      </c>
    </row>
    <row r="53" customFormat="false" ht="15" hidden="false" customHeight="false" outlineLevel="0" collapsed="false">
      <c r="A53" s="5" t="n">
        <v>0.125745</v>
      </c>
      <c r="B53" s="5" t="n">
        <v>0.050651</v>
      </c>
      <c r="C53" s="5" t="n">
        <f aca="false">B53*$E$1</f>
        <v>4.7189494612799</v>
      </c>
      <c r="D53" s="5" t="n">
        <f aca="false">$G$1+$K$1</f>
        <v>242.881276934999</v>
      </c>
      <c r="E53" s="5" t="n">
        <f aca="false">-A53*$E$1-($G$1*TAN(RADIANS($H$1)))-$J$1</f>
        <v>-922.138053046661</v>
      </c>
    </row>
    <row r="54" customFormat="false" ht="15" hidden="false" customHeight="false" outlineLevel="0" collapsed="false">
      <c r="A54" s="5" t="n">
        <v>0.110163</v>
      </c>
      <c r="B54" s="5" t="n">
        <v>0.048457</v>
      </c>
      <c r="C54" s="5" t="n">
        <f aca="false">B54*$E$1</f>
        <v>4.51454332678999</v>
      </c>
      <c r="D54" s="5" t="n">
        <f aca="false">$G$1+$K$1</f>
        <v>242.881276934999</v>
      </c>
      <c r="E54" s="5" t="n">
        <f aca="false">-A54*$E$1-($G$1*TAN(RADIANS($H$1)))-$J$1</f>
        <v>-920.686340928328</v>
      </c>
    </row>
    <row r="55" customFormat="false" ht="15" hidden="false" customHeight="false" outlineLevel="0" collapsed="false">
      <c r="A55" s="5" t="n">
        <v>0.095492</v>
      </c>
      <c r="B55" s="5" t="n">
        <v>0.046049</v>
      </c>
      <c r="C55" s="5" t="n">
        <f aca="false">B55*$E$1</f>
        <v>4.29019967508002</v>
      </c>
      <c r="D55" s="5" t="n">
        <f aca="false">$G$1+$K$1</f>
        <v>242.881276934999</v>
      </c>
      <c r="E55" s="5" t="n">
        <f aca="false">-A55*$E$1-($G$1*TAN(RADIANS($H$1)))-$J$1</f>
        <v>-919.319503007133</v>
      </c>
    </row>
    <row r="56" customFormat="false" ht="15" hidden="false" customHeight="false" outlineLevel="0" collapsed="false">
      <c r="A56" s="5" t="n">
        <v>0.081765</v>
      </c>
      <c r="B56" s="5" t="n">
        <v>0.043437</v>
      </c>
      <c r="C56" s="5" t="n">
        <f aca="false">B56*$E$1</f>
        <v>4.04685016583315</v>
      </c>
      <c r="D56" s="5" t="n">
        <f aca="false">$G$1+$K$1</f>
        <v>242.881276934999</v>
      </c>
      <c r="E56" s="5" t="n">
        <f aca="false">-A56*$E$1-($G$1*TAN(RADIANS($H$1)))-$J$1</f>
        <v>-918.040613760031</v>
      </c>
    </row>
    <row r="57" customFormat="false" ht="15" hidden="false" customHeight="false" outlineLevel="0" collapsed="false">
      <c r="A57" s="5" t="n">
        <v>0.069015</v>
      </c>
      <c r="B57" s="5" t="n">
        <v>0.040631</v>
      </c>
      <c r="C57" s="5" t="n">
        <f aca="false">B57*$E$1</f>
        <v>3.78542645873257</v>
      </c>
      <c r="D57" s="5" t="n">
        <f aca="false">$G$1+$K$1</f>
        <v>242.881276934999</v>
      </c>
      <c r="E57" s="5" t="n">
        <f aca="false">-A57*$E$1-($G$1*TAN(RADIANS($H$1)))-$J$1</f>
        <v>-916.852747663975</v>
      </c>
    </row>
    <row r="58" customFormat="false" ht="15" hidden="false" customHeight="false" outlineLevel="0" collapsed="false">
      <c r="A58" s="5" t="n">
        <v>0.057272</v>
      </c>
      <c r="B58" s="5" t="n">
        <v>0.037641</v>
      </c>
      <c r="C58" s="5" t="n">
        <f aca="false">B58*$E$1</f>
        <v>3.50686021346146</v>
      </c>
      <c r="D58" s="5" t="n">
        <f aca="false">$G$1+$K$1</f>
        <v>242.881276934999</v>
      </c>
      <c r="E58" s="5" t="n">
        <f aca="false">-A58*$E$1-($G$1*TAN(RADIANS($H$1)))-$J$1</f>
        <v>-915.758699698015</v>
      </c>
    </row>
    <row r="59" customFormat="false" ht="15" hidden="false" customHeight="false" outlineLevel="0" collapsed="false">
      <c r="A59" s="5" t="n">
        <v>0.046563</v>
      </c>
      <c r="B59" s="5" t="n">
        <v>0.034479</v>
      </c>
      <c r="C59" s="5" t="n">
        <f aca="false">B59*$E$1</f>
        <v>3.21226942163964</v>
      </c>
      <c r="D59" s="5" t="n">
        <f aca="false">$G$1+$K$1</f>
        <v>242.881276934999</v>
      </c>
      <c r="E59" s="5" t="n">
        <f aca="false">-A59*$E$1-($G$1*TAN(RADIANS($H$1)))-$J$1</f>
        <v>-914.760985343297</v>
      </c>
    </row>
    <row r="60" customFormat="false" ht="15" hidden="false" customHeight="false" outlineLevel="0" collapsed="false">
      <c r="A60" s="5" t="n">
        <v>0.036913</v>
      </c>
      <c r="B60" s="5" t="n">
        <v>0.031156</v>
      </c>
      <c r="C60" s="5" t="n">
        <f aca="false">B60*$E$1</f>
        <v>2.90267890891861</v>
      </c>
      <c r="D60" s="5" t="n">
        <f aca="false">$G$1+$K$1</f>
        <v>242.881276934999</v>
      </c>
      <c r="E60" s="5" t="n">
        <f aca="false">-A60*$E$1-($G$1*TAN(RADIANS($H$1)))-$J$1</f>
        <v>-913.861933749027</v>
      </c>
    </row>
    <row r="61" customFormat="false" ht="15" hidden="false" customHeight="false" outlineLevel="0" collapsed="false">
      <c r="A61" s="5" t="n">
        <v>0.028344</v>
      </c>
      <c r="B61" s="5" t="n">
        <v>0.027683</v>
      </c>
      <c r="C61" s="5" t="n">
        <f aca="false">B61*$E$1</f>
        <v>2.57911350094986</v>
      </c>
      <c r="D61" s="5" t="n">
        <f aca="false">$G$1+$K$1</f>
        <v>242.881276934999</v>
      </c>
      <c r="E61" s="5" t="n">
        <f aca="false">-A61*$E$1-($G$1*TAN(RADIANS($H$1)))-$J$1</f>
        <v>-913.06359456651</v>
      </c>
    </row>
    <row r="62" customFormat="false" ht="15" hidden="false" customHeight="false" outlineLevel="0" collapsed="false">
      <c r="A62" s="5" t="n">
        <v>0.020877</v>
      </c>
      <c r="B62" s="5" t="n">
        <v>0.024071</v>
      </c>
      <c r="C62" s="5" t="n">
        <f aca="false">B62*$E$1</f>
        <v>2.2425980233849</v>
      </c>
      <c r="D62" s="5" t="n">
        <f aca="false">$G$1+$K$1</f>
        <v>242.881276934999</v>
      </c>
      <c r="E62" s="5" t="n">
        <f aca="false">-A62*$E$1-($G$1*TAN(RADIANS($H$1)))-$J$1</f>
        <v>-912.367924281078</v>
      </c>
    </row>
    <row r="63" customFormat="false" ht="15" hidden="false" customHeight="false" outlineLevel="0" collapsed="false">
      <c r="A63" s="5" t="n">
        <v>0.014529</v>
      </c>
      <c r="B63" s="5" t="n">
        <v>0.02033</v>
      </c>
      <c r="C63" s="5" t="n">
        <f aca="false">B63*$E$1</f>
        <v>1.8940641359069</v>
      </c>
      <c r="D63" s="5" t="n">
        <f aca="false">$G$1+$K$1</f>
        <v>242.881276934999</v>
      </c>
      <c r="E63" s="5" t="n">
        <f aca="false">-A63*$E$1-($G$1*TAN(RADIANS($H$1)))-$J$1</f>
        <v>-911.776506714195</v>
      </c>
    </row>
    <row r="64" customFormat="false" ht="15" hidden="false" customHeight="false" outlineLevel="0" collapsed="false">
      <c r="A64" s="5" t="n">
        <v>0.009315</v>
      </c>
      <c r="B64" s="5" t="n">
        <v>0.016471</v>
      </c>
      <c r="C64" s="5" t="n">
        <f aca="false">B64*$E$1</f>
        <v>1.53453666416736</v>
      </c>
      <c r="D64" s="5" t="n">
        <f aca="false">$G$1+$K$1</f>
        <v>242.881276934999</v>
      </c>
      <c r="E64" s="5" t="n">
        <f aca="false">-A64*$E$1-($G$1*TAN(RADIANS($H$1)))-$J$1</f>
        <v>-911.290739355385</v>
      </c>
    </row>
    <row r="65" customFormat="false" ht="15" hidden="false" customHeight="false" outlineLevel="0" collapsed="false">
      <c r="A65" s="5" t="n">
        <v>0.005247</v>
      </c>
      <c r="B65" s="5" t="n">
        <v>0.012501</v>
      </c>
      <c r="C65" s="5" t="n">
        <f aca="false">B65*$E$1</f>
        <v>1.16466776994452</v>
      </c>
      <c r="D65" s="5" t="n">
        <f aca="false">$G$1+$K$1</f>
        <v>242.881276934999</v>
      </c>
      <c r="E65" s="5" t="n">
        <f aca="false">-A65*$E$1-($G$1*TAN(RADIANS($H$1)))-$J$1</f>
        <v>-910.911740196267</v>
      </c>
    </row>
    <row r="66" customFormat="false" ht="15" hidden="false" customHeight="false" outlineLevel="0" collapsed="false">
      <c r="A66" s="5" t="n">
        <v>0.002334</v>
      </c>
      <c r="B66" s="5" t="n">
        <v>0.008429</v>
      </c>
      <c r="C66" s="5" t="n">
        <f aca="false">B66*$E$1</f>
        <v>0.785295946953234</v>
      </c>
      <c r="D66" s="5" t="n">
        <f aca="false">$G$1+$K$1</f>
        <v>242.881276934999</v>
      </c>
      <c r="E66" s="5" t="n">
        <f aca="false">-A66*$E$1-($G$1*TAN(RADIANS($H$1)))-$J$1</f>
        <v>-910.640347730556</v>
      </c>
    </row>
    <row r="67" customFormat="false" ht="15" hidden="false" customHeight="false" outlineLevel="0" collapsed="false">
      <c r="A67" s="5" t="n">
        <v>0.000584</v>
      </c>
      <c r="B67" s="5" t="n">
        <v>0.00426</v>
      </c>
      <c r="C67" s="5" t="n">
        <f aca="false">B67*$E$1</f>
        <v>0.39688702503509</v>
      </c>
      <c r="D67" s="5" t="n">
        <f aca="false">$G$1+$K$1</f>
        <v>242.881276934999</v>
      </c>
      <c r="E67" s="5" t="n">
        <f aca="false">-A67*$E$1-($G$1*TAN(RADIANS($H$1)))-$J$1</f>
        <v>-910.477307285999</v>
      </c>
    </row>
    <row r="68" customFormat="false" ht="15" hidden="false" customHeight="false" outlineLevel="0" collapsed="false">
      <c r="A68" s="5" t="n">
        <v>0</v>
      </c>
      <c r="B68" s="5" t="n">
        <v>0</v>
      </c>
      <c r="C68" s="5" t="n">
        <f aca="false">B68*$E$1</f>
        <v>0</v>
      </c>
      <c r="D68" s="5" t="n">
        <f aca="false">$G$1+$K$1</f>
        <v>242.881276934999</v>
      </c>
      <c r="E68" s="5" t="n">
        <f aca="false">-A68*$E$1-($G$1*TAN(RADIANS($H$1)))-$J$1</f>
        <v>-910.422898360501</v>
      </c>
    </row>
    <row r="69" customFormat="false" ht="15" hidden="false" customHeight="false" outlineLevel="0" collapsed="false">
      <c r="A69" s="5" t="n">
        <v>0.000584</v>
      </c>
      <c r="B69" s="5" t="n">
        <v>-0.00426</v>
      </c>
      <c r="C69" s="5" t="n">
        <f aca="false">B69*$E$1</f>
        <v>-0.39688702503509</v>
      </c>
      <c r="D69" s="5" t="n">
        <f aca="false">$G$1+$K$1</f>
        <v>242.881276934999</v>
      </c>
      <c r="E69" s="5" t="n">
        <f aca="false">-A69*$E$1-($G$1*TAN(RADIANS($H$1)))-$J$1</f>
        <v>-910.477307285999</v>
      </c>
    </row>
    <row r="70" customFormat="false" ht="15" hidden="false" customHeight="false" outlineLevel="0" collapsed="false">
      <c r="A70" s="5" t="n">
        <v>0.002334</v>
      </c>
      <c r="B70" s="5" t="n">
        <v>-0.008429</v>
      </c>
      <c r="C70" s="5" t="n">
        <f aca="false">B70*$E$1</f>
        <v>-0.785295946953234</v>
      </c>
      <c r="D70" s="5" t="n">
        <f aca="false">$G$1+$K$1</f>
        <v>242.881276934999</v>
      </c>
      <c r="E70" s="5" t="n">
        <f aca="false">-A70*$E$1-($G$1*TAN(RADIANS($H$1)))-$J$1</f>
        <v>-910.640347730556</v>
      </c>
    </row>
    <row r="71" customFormat="false" ht="15" hidden="false" customHeight="false" outlineLevel="0" collapsed="false">
      <c r="A71" s="5" t="n">
        <v>0.005247</v>
      </c>
      <c r="B71" s="5" t="n">
        <v>-0.012501</v>
      </c>
      <c r="C71" s="5" t="n">
        <f aca="false">B71*$E$1</f>
        <v>-1.16466776994452</v>
      </c>
      <c r="D71" s="5" t="n">
        <f aca="false">$G$1+$K$1</f>
        <v>242.881276934999</v>
      </c>
      <c r="E71" s="5" t="n">
        <f aca="false">-A71*$E$1-($G$1*TAN(RADIANS($H$1)))-$J$1</f>
        <v>-910.911740196267</v>
      </c>
    </row>
    <row r="72" customFormat="false" ht="15" hidden="false" customHeight="false" outlineLevel="0" collapsed="false">
      <c r="A72" s="5" t="n">
        <v>0.009315</v>
      </c>
      <c r="B72" s="5" t="n">
        <v>-0.016471</v>
      </c>
      <c r="C72" s="5" t="n">
        <f aca="false">B72*$E$1</f>
        <v>-1.53453666416736</v>
      </c>
      <c r="D72" s="5" t="n">
        <f aca="false">$G$1+$K$1</f>
        <v>242.881276934999</v>
      </c>
      <c r="E72" s="5" t="n">
        <f aca="false">-A72*$E$1-($G$1*TAN(RADIANS($H$1)))-$J$1</f>
        <v>-911.290739355385</v>
      </c>
    </row>
    <row r="73" customFormat="false" ht="15" hidden="false" customHeight="false" outlineLevel="0" collapsed="false">
      <c r="A73" s="5" t="n">
        <v>0.014529</v>
      </c>
      <c r="B73" s="5" t="n">
        <v>-0.02033</v>
      </c>
      <c r="C73" s="5" t="n">
        <f aca="false">B73*$E$1</f>
        <v>-1.8940641359069</v>
      </c>
      <c r="D73" s="5" t="n">
        <f aca="false">$G$1+$K$1</f>
        <v>242.881276934999</v>
      </c>
      <c r="E73" s="5" t="n">
        <f aca="false">-A73*$E$1-($G$1*TAN(RADIANS($H$1)))-$J$1</f>
        <v>-911.776506714195</v>
      </c>
    </row>
    <row r="74" customFormat="false" ht="15" hidden="false" customHeight="false" outlineLevel="0" collapsed="false">
      <c r="A74" s="5" t="n">
        <v>0.020877</v>
      </c>
      <c r="B74" s="5" t="n">
        <v>-0.024071</v>
      </c>
      <c r="C74" s="5" t="n">
        <f aca="false">B74*$E$1</f>
        <v>-2.2425980233849</v>
      </c>
      <c r="D74" s="5" t="n">
        <f aca="false">$G$1+$K$1</f>
        <v>242.881276934999</v>
      </c>
      <c r="E74" s="5" t="n">
        <f aca="false">-A74*$E$1-($G$1*TAN(RADIANS($H$1)))-$J$1</f>
        <v>-912.367924281078</v>
      </c>
    </row>
    <row r="75" customFormat="false" ht="15" hidden="false" customHeight="false" outlineLevel="0" collapsed="false">
      <c r="A75" s="5" t="n">
        <v>0.028344</v>
      </c>
      <c r="B75" s="5" t="n">
        <v>-0.027683</v>
      </c>
      <c r="C75" s="5" t="n">
        <f aca="false">B75*$E$1</f>
        <v>-2.57911350094986</v>
      </c>
      <c r="D75" s="5" t="n">
        <f aca="false">$G$1+$K$1</f>
        <v>242.881276934999</v>
      </c>
      <c r="E75" s="5" t="n">
        <f aca="false">-A75*$E$1-($G$1*TAN(RADIANS($H$1)))-$J$1</f>
        <v>-913.06359456651</v>
      </c>
    </row>
    <row r="76" customFormat="false" ht="15" hidden="false" customHeight="false" outlineLevel="0" collapsed="false">
      <c r="A76" s="5" t="n">
        <v>0.036913</v>
      </c>
      <c r="B76" s="5" t="n">
        <v>-0.031156</v>
      </c>
      <c r="C76" s="5" t="n">
        <f aca="false">B76*$E$1</f>
        <v>-2.90267890891861</v>
      </c>
      <c r="D76" s="5" t="n">
        <f aca="false">$G$1+$K$1</f>
        <v>242.881276934999</v>
      </c>
      <c r="E76" s="5" t="n">
        <f aca="false">-A76*$E$1-($G$1*TAN(RADIANS($H$1)))-$J$1</f>
        <v>-913.861933749027</v>
      </c>
    </row>
    <row r="77" customFormat="false" ht="15" hidden="false" customHeight="false" outlineLevel="0" collapsed="false">
      <c r="A77" s="5" t="n">
        <v>0.046563</v>
      </c>
      <c r="B77" s="5" t="n">
        <v>-0.034479</v>
      </c>
      <c r="C77" s="5" t="n">
        <f aca="false">B77*$E$1</f>
        <v>-3.21226942163964</v>
      </c>
      <c r="D77" s="5" t="n">
        <f aca="false">$G$1+$K$1</f>
        <v>242.881276934999</v>
      </c>
      <c r="E77" s="5" t="n">
        <f aca="false">-A77*$E$1-($G$1*TAN(RADIANS($H$1)))-$J$1</f>
        <v>-914.760985343297</v>
      </c>
    </row>
    <row r="78" customFormat="false" ht="15" hidden="false" customHeight="false" outlineLevel="0" collapsed="false">
      <c r="A78" s="5" t="n">
        <v>0.057272</v>
      </c>
      <c r="B78" s="5" t="n">
        <v>-0.037641</v>
      </c>
      <c r="C78" s="5" t="n">
        <f aca="false">B78*$E$1</f>
        <v>-3.50686021346146</v>
      </c>
      <c r="D78" s="5" t="n">
        <f aca="false">$G$1+$K$1</f>
        <v>242.881276934999</v>
      </c>
      <c r="E78" s="5" t="n">
        <f aca="false">-A78*$E$1-($G$1*TAN(RADIANS($H$1)))-$J$1</f>
        <v>-915.758699698015</v>
      </c>
    </row>
    <row r="79" customFormat="false" ht="15" hidden="false" customHeight="false" outlineLevel="0" collapsed="false">
      <c r="A79" s="5" t="n">
        <v>0.069015</v>
      </c>
      <c r="B79" s="5" t="n">
        <v>-0.040631</v>
      </c>
      <c r="C79" s="5" t="n">
        <f aca="false">B79*$E$1</f>
        <v>-3.78542645873257</v>
      </c>
      <c r="D79" s="5" t="n">
        <f aca="false">$G$1+$K$1</f>
        <v>242.881276934999</v>
      </c>
      <c r="E79" s="5" t="n">
        <f aca="false">-A79*$E$1-($G$1*TAN(RADIANS($H$1)))-$J$1</f>
        <v>-916.852747663975</v>
      </c>
    </row>
    <row r="80" customFormat="false" ht="15" hidden="false" customHeight="false" outlineLevel="0" collapsed="false">
      <c r="A80" s="5" t="n">
        <v>0.081765</v>
      </c>
      <c r="B80" s="5" t="n">
        <v>-0.043437</v>
      </c>
      <c r="C80" s="5" t="n">
        <f aca="false">B80*$E$1</f>
        <v>-4.04685016583315</v>
      </c>
      <c r="D80" s="5" t="n">
        <f aca="false">$G$1+$K$1</f>
        <v>242.881276934999</v>
      </c>
      <c r="E80" s="5" t="n">
        <f aca="false">-A80*$E$1-($G$1*TAN(RADIANS($H$1)))-$J$1</f>
        <v>-918.040613760031</v>
      </c>
    </row>
    <row r="81" customFormat="false" ht="15" hidden="false" customHeight="false" outlineLevel="0" collapsed="false">
      <c r="A81" s="5" t="n">
        <v>0.095492</v>
      </c>
      <c r="B81" s="5" t="n">
        <v>-0.046049</v>
      </c>
      <c r="C81" s="5" t="n">
        <f aca="false">B81*$E$1</f>
        <v>-4.29019967508002</v>
      </c>
      <c r="D81" s="5" t="n">
        <f aca="false">$G$1+$K$1</f>
        <v>242.881276934999</v>
      </c>
      <c r="E81" s="5" t="n">
        <f aca="false">-A81*$E$1-($G$1*TAN(RADIANS($H$1)))-$J$1</f>
        <v>-919.319503007133</v>
      </c>
    </row>
    <row r="82" customFormat="false" ht="15" hidden="false" customHeight="false" outlineLevel="0" collapsed="false">
      <c r="A82" s="5" t="n">
        <v>0.110163</v>
      </c>
      <c r="B82" s="5" t="n">
        <v>-0.048457</v>
      </c>
      <c r="C82" s="5" t="n">
        <f aca="false">B82*$E$1</f>
        <v>-4.51454332678999</v>
      </c>
      <c r="D82" s="5" t="n">
        <f aca="false">$G$1+$K$1</f>
        <v>242.881276934999</v>
      </c>
      <c r="E82" s="5" t="n">
        <f aca="false">-A82*$E$1-($G$1*TAN(RADIANS($H$1)))-$J$1</f>
        <v>-920.686340928328</v>
      </c>
    </row>
    <row r="83" customFormat="false" ht="15" hidden="false" customHeight="false" outlineLevel="0" collapsed="false">
      <c r="A83" s="5" t="n">
        <v>0.125745</v>
      </c>
      <c r="B83" s="5" t="n">
        <v>-0.050651</v>
      </c>
      <c r="C83" s="5" t="n">
        <f aca="false">B83*$E$1</f>
        <v>-4.7189494612799</v>
      </c>
      <c r="D83" s="5" t="n">
        <f aca="false">$G$1+$K$1</f>
        <v>242.881276934999</v>
      </c>
      <c r="E83" s="5" t="n">
        <f aca="false">-A83*$E$1-($G$1*TAN(RADIANS($H$1)))-$J$1</f>
        <v>-922.138053046661</v>
      </c>
    </row>
    <row r="84" customFormat="false" ht="15" hidden="false" customHeight="false" outlineLevel="0" collapsed="false">
      <c r="A84" s="5" t="n">
        <v>0.142201</v>
      </c>
      <c r="B84" s="5" t="n">
        <v>-0.052625</v>
      </c>
      <c r="C84" s="5" t="n">
        <f aca="false">B84*$E$1</f>
        <v>-4.90285908273982</v>
      </c>
      <c r="D84" s="5" t="n">
        <f aca="false">$G$1+$K$1</f>
        <v>242.881276934999</v>
      </c>
      <c r="E84" s="5" t="n">
        <f aca="false">-A84*$E$1-($G$1*TAN(RADIANS($H$1)))-$J$1</f>
        <v>-923.671192221303</v>
      </c>
    </row>
    <row r="85" customFormat="false" ht="15" hidden="false" customHeight="false" outlineLevel="0" collapsed="false">
      <c r="A85" s="5" t="n">
        <v>0.159492</v>
      </c>
      <c r="B85" s="5" t="n">
        <v>-0.054372</v>
      </c>
      <c r="C85" s="5" t="n">
        <f aca="false">B85*$E$1</f>
        <v>-5.06562002939153</v>
      </c>
      <c r="D85" s="5" t="n">
        <f aca="false">$G$1+$K$1</f>
        <v>242.881276934999</v>
      </c>
      <c r="E85" s="5" t="n">
        <f aca="false">-A85*$E$1-($G$1*TAN(RADIANS($H$1)))-$J$1</f>
        <v>-925.282124979491</v>
      </c>
    </row>
    <row r="86" customFormat="false" ht="15" hidden="false" customHeight="false" outlineLevel="0" collapsed="false">
      <c r="A86" s="5" t="n">
        <v>0.177579</v>
      </c>
      <c r="B86" s="5" t="n">
        <v>-0.055886</v>
      </c>
      <c r="C86" s="5" t="n">
        <f aca="false">B86*$E$1</f>
        <v>-5.20667330542513</v>
      </c>
      <c r="D86" s="5" t="n">
        <f aca="false">$G$1+$K$1</f>
        <v>242.881276934999</v>
      </c>
      <c r="E86" s="5" t="n">
        <f aca="false">-A86*$E$1-($G$1*TAN(RADIANS($H$1)))-$J$1</f>
        <v>-926.967217848461</v>
      </c>
    </row>
    <row r="87" customFormat="false" ht="15" hidden="false" customHeight="false" outlineLevel="0" collapsed="false">
      <c r="A87" s="5" t="n">
        <v>0.196419</v>
      </c>
      <c r="B87" s="5" t="n">
        <v>-0.057164</v>
      </c>
      <c r="C87" s="5" t="n">
        <f aca="false">B87*$E$1</f>
        <v>-5.32573941293566</v>
      </c>
      <c r="D87" s="5" t="n">
        <f aca="false">$G$1+$K$1</f>
        <v>242.881276934999</v>
      </c>
      <c r="E87" s="5" t="n">
        <f aca="false">-A87*$E$1-($G$1*TAN(RADIANS($H$1)))-$J$1</f>
        <v>-928.722464691574</v>
      </c>
    </row>
    <row r="88" customFormat="false" ht="15" hidden="false" customHeight="false" outlineLevel="0" collapsed="false">
      <c r="A88" s="5" t="n">
        <v>0.215968</v>
      </c>
      <c r="B88" s="5" t="n">
        <v>-0.058205</v>
      </c>
      <c r="C88" s="5" t="n">
        <f aca="false">B88*$E$1</f>
        <v>-5.42272518595479</v>
      </c>
      <c r="D88" s="5" t="n">
        <f aca="false">$G$1+$K$1</f>
        <v>242.881276934999</v>
      </c>
      <c r="E88" s="5" t="n">
        <f aca="false">-A88*$E$1-($G$1*TAN(RADIANS($H$1)))-$J$1</f>
        <v>-930.543766206224</v>
      </c>
    </row>
    <row r="89" customFormat="false" ht="15" hidden="false" customHeight="false" outlineLevel="0" collapsed="false">
      <c r="A89" s="5" t="n">
        <v>0.23618</v>
      </c>
      <c r="B89" s="5" t="n">
        <v>-0.059008</v>
      </c>
      <c r="C89" s="5" t="n">
        <f aca="false">B89*$E$1</f>
        <v>-5.49753745851423</v>
      </c>
      <c r="D89" s="5" t="n">
        <f aca="false">$G$1+$K$1</f>
        <v>242.881276934999</v>
      </c>
      <c r="E89" s="5" t="n">
        <f aca="false">-A89*$E$1-($G$1*TAN(RADIANS($H$1)))-$J$1</f>
        <v>-932.426836757869</v>
      </c>
    </row>
    <row r="90" customFormat="false" ht="15" hidden="false" customHeight="false" outlineLevel="0" collapsed="false">
      <c r="A90" s="5" t="n">
        <v>0.257008</v>
      </c>
      <c r="B90" s="5" t="n">
        <v>-0.059576</v>
      </c>
      <c r="C90" s="5" t="n">
        <f aca="false">B90*$E$1</f>
        <v>-5.5504557285189</v>
      </c>
      <c r="D90" s="5" t="n">
        <f aca="false">$G$1+$K$1</f>
        <v>242.881276934999</v>
      </c>
      <c r="E90" s="5" t="n">
        <f aca="false">-A90*$E$1-($G$1*TAN(RADIANS($H$1)))-$J$1</f>
        <v>-934.367297545999</v>
      </c>
    </row>
    <row r="91" customFormat="false" ht="15" hidden="false" customHeight="false" outlineLevel="0" collapsed="false">
      <c r="A91" s="5" t="n">
        <v>0.278404</v>
      </c>
      <c r="B91" s="5" t="n">
        <v>-0.05991</v>
      </c>
      <c r="C91" s="5" t="n">
        <f aca="false">B91*$E$1</f>
        <v>-5.58157316193715</v>
      </c>
      <c r="D91" s="5" t="n">
        <f aca="false">$G$1+$K$1</f>
        <v>242.881276934999</v>
      </c>
      <c r="E91" s="5" t="n">
        <f aca="false">-A91*$E$1-($G$1*TAN(RADIANS($H$1)))-$J$1</f>
        <v>-936.360676604133</v>
      </c>
    </row>
    <row r="92" customFormat="false" ht="15" hidden="false" customHeight="false" outlineLevel="0" collapsed="false">
      <c r="A92" s="5" t="n">
        <v>0.300318</v>
      </c>
      <c r="B92" s="5" t="n">
        <v>-0.060017</v>
      </c>
      <c r="C92" s="5" t="n">
        <f aca="false">B92*$E$1</f>
        <v>-5.59154192054719</v>
      </c>
      <c r="D92" s="5" t="n">
        <f aca="false">$G$1+$K$1</f>
        <v>242.881276934999</v>
      </c>
      <c r="E92" s="5" t="n">
        <f aca="false">-A92*$E$1-($G$1*TAN(RADIANS($H$1)))-$J$1</f>
        <v>-938.402315633855</v>
      </c>
    </row>
    <row r="93" customFormat="false" ht="15" hidden="false" customHeight="false" outlineLevel="0" collapsed="false">
      <c r="A93" s="5" t="n">
        <v>0.322698</v>
      </c>
      <c r="B93" s="5" t="n">
        <v>-0.059903</v>
      </c>
      <c r="C93" s="5" t="n">
        <f aca="false">B93*$E$1</f>
        <v>-5.58092100015892</v>
      </c>
      <c r="D93" s="5" t="n">
        <f aca="false">$G$1+$K$1</f>
        <v>242.881276934999</v>
      </c>
      <c r="E93" s="5" t="n">
        <f aca="false">-A93*$E$1-($G$1*TAN(RADIANS($H$1)))-$J$1</f>
        <v>-940.487370004815</v>
      </c>
    </row>
    <row r="94" customFormat="false" ht="15" hidden="false" customHeight="false" outlineLevel="0" collapsed="false">
      <c r="A94" s="5" t="n">
        <v>0.345492</v>
      </c>
      <c r="B94" s="5" t="n">
        <v>-0.059575</v>
      </c>
      <c r="C94" s="5" t="n">
        <f aca="false">B94*$E$1</f>
        <v>-5.55036256255059</v>
      </c>
      <c r="D94" s="5" t="n">
        <f aca="false">$G$1+$K$1</f>
        <v>242.881276934999</v>
      </c>
      <c r="E94" s="5" t="n">
        <f aca="false">-A94*$E$1-($G$1*TAN(RADIANS($H$1)))-$J$1</f>
        <v>-942.610995086657</v>
      </c>
    </row>
    <row r="95" customFormat="false" ht="15" hidden="false" customHeight="false" outlineLevel="0" collapsed="false">
      <c r="A95" s="5" t="n">
        <v>0.368646</v>
      </c>
      <c r="B95" s="5" t="n">
        <v>-0.059042</v>
      </c>
      <c r="C95" s="5" t="n">
        <f aca="false">B95*$E$1</f>
        <v>-5.50070510143704</v>
      </c>
      <c r="D95" s="5" t="n">
        <f aca="false">$G$1+$K$1</f>
        <v>242.881276934999</v>
      </c>
      <c r="E95" s="5" t="n">
        <f aca="false">-A95*$E$1-($G$1*TAN(RADIANS($H$1)))-$J$1</f>
        <v>-944.768159917094</v>
      </c>
    </row>
    <row r="96" customFormat="false" ht="15" hidden="false" customHeight="false" outlineLevel="0" collapsed="false">
      <c r="A96" s="5" t="n">
        <v>0.392108</v>
      </c>
      <c r="B96" s="5" t="n">
        <v>-0.058314</v>
      </c>
      <c r="C96" s="5" t="n">
        <f aca="false">B96*$E$1</f>
        <v>-5.43288027650147</v>
      </c>
      <c r="D96" s="5" t="n">
        <f aca="false">$G$1+$K$1</f>
        <v>242.881276934999</v>
      </c>
      <c r="E96" s="5" t="n">
        <f aca="false">-A96*$E$1-($G$1*TAN(RADIANS($H$1)))-$J$1</f>
        <v>-946.954019865774</v>
      </c>
    </row>
    <row r="97" customFormat="false" ht="15" hidden="false" customHeight="false" outlineLevel="0" collapsed="false">
      <c r="A97" s="5" t="n">
        <v>0.415822</v>
      </c>
      <c r="B97" s="5" t="n">
        <v>-0.057403</v>
      </c>
      <c r="C97" s="5" t="n">
        <f aca="false">B97*$E$1</f>
        <v>-5.34800607936368</v>
      </c>
      <c r="D97" s="5" t="n">
        <f aca="false">$G$1+$K$1</f>
        <v>242.881276934999</v>
      </c>
      <c r="E97" s="5" t="n">
        <f aca="false">-A97*$E$1-($G$1*TAN(RADIANS($H$1)))-$J$1</f>
        <v>-949.163357638469</v>
      </c>
    </row>
    <row r="98" customFormat="false" ht="15" hidden="false" customHeight="false" outlineLevel="0" collapsed="false">
      <c r="A98" s="5" t="n">
        <v>0.439732</v>
      </c>
      <c r="B98" s="5" t="n">
        <v>-0.05632</v>
      </c>
      <c r="C98" s="5" t="n">
        <f aca="false">B98*$E$1</f>
        <v>-5.24710733567518</v>
      </c>
      <c r="D98" s="5" t="n">
        <f aca="false">$G$1+$K$1</f>
        <v>242.881276934999</v>
      </c>
      <c r="E98" s="5" t="n">
        <f aca="false">-A98*$E$1-($G$1*TAN(RADIANS($H$1)))-$J$1</f>
        <v>-951.390955940955</v>
      </c>
    </row>
    <row r="99" customFormat="false" ht="15" hidden="false" customHeight="false" outlineLevel="0" collapsed="false">
      <c r="A99" s="5" t="n">
        <v>0.463783</v>
      </c>
      <c r="B99" s="5" t="n">
        <v>-0.055077</v>
      </c>
      <c r="C99" s="5" t="n">
        <f aca="false">B99*$E$1</f>
        <v>-5.13130203705579</v>
      </c>
      <c r="D99" s="5" t="n">
        <f aca="false">$G$1+$K$1</f>
        <v>242.881276934999</v>
      </c>
      <c r="E99" s="5" t="n">
        <f aca="false">-A99*$E$1-($G$1*TAN(RADIANS($H$1)))-$J$1</f>
        <v>-953.631690644973</v>
      </c>
    </row>
    <row r="100" customFormat="false" ht="15" hidden="false" customHeight="false" outlineLevel="0" collapsed="false">
      <c r="A100" s="5" t="n">
        <v>0.487918</v>
      </c>
      <c r="B100" s="5" t="n">
        <v>-0.053687</v>
      </c>
      <c r="C100" s="5" t="n">
        <f aca="false">B100*$E$1</f>
        <v>-5.00180134109364</v>
      </c>
      <c r="D100" s="5" t="n">
        <f aca="false">$G$1+$K$1</f>
        <v>242.881276934999</v>
      </c>
      <c r="E100" s="5" t="n">
        <f aca="false">-A100*$E$1-($G$1*TAN(RADIANS($H$1)))-$J$1</f>
        <v>-955.88025129033</v>
      </c>
    </row>
    <row r="101" customFormat="false" ht="15" hidden="false" customHeight="false" outlineLevel="0" collapsed="false">
      <c r="A101" s="5" t="n">
        <v>0.512082</v>
      </c>
      <c r="B101" s="5" t="n">
        <v>-0.052162</v>
      </c>
      <c r="C101" s="5" t="n">
        <f aca="false">B101*$E$1</f>
        <v>-4.85972323940854</v>
      </c>
      <c r="D101" s="5" t="n">
        <f aca="false">$G$1+$K$1</f>
        <v>242.881276934999</v>
      </c>
      <c r="E101" s="5" t="n">
        <f aca="false">-A101*$E$1-($G$1*TAN(RADIANS($H$1)))-$J$1</f>
        <v>-958.131513748769</v>
      </c>
    </row>
    <row r="102" customFormat="false" ht="15" hidden="false" customHeight="false" outlineLevel="0" collapsed="false">
      <c r="A102" s="5" t="n">
        <v>0.536217</v>
      </c>
      <c r="B102" s="5" t="n">
        <v>-0.050516</v>
      </c>
      <c r="C102" s="5" t="n">
        <f aca="false">B102*$E$1</f>
        <v>-4.70637205555695</v>
      </c>
      <c r="D102" s="5" t="n">
        <f aca="false">$G$1+$K$1</f>
        <v>242.881276934999</v>
      </c>
      <c r="E102" s="5" t="n">
        <f aca="false">-A102*$E$1-($G$1*TAN(RADIANS($H$1)))-$J$1</f>
        <v>-960.380074394126</v>
      </c>
    </row>
    <row r="103" customFormat="false" ht="15" hidden="false" customHeight="false" outlineLevel="0" collapsed="false">
      <c r="A103" s="5" t="n">
        <v>0.560268</v>
      </c>
      <c r="B103" s="5" t="n">
        <v>-0.048762</v>
      </c>
      <c r="C103" s="5" t="n">
        <f aca="false">B103*$E$1</f>
        <v>-4.54295894712701</v>
      </c>
      <c r="D103" s="5" t="n">
        <f aca="false">$G$1+$K$1</f>
        <v>242.881276934999</v>
      </c>
      <c r="E103" s="5" t="n">
        <f aca="false">-A103*$E$1-($G$1*TAN(RADIANS($H$1)))-$J$1</f>
        <v>-962.620809098145</v>
      </c>
    </row>
    <row r="104" customFormat="false" ht="15" hidden="false" customHeight="false" outlineLevel="0" collapsed="false">
      <c r="A104" s="5" t="n">
        <v>0.584179</v>
      </c>
      <c r="B104" s="5" t="n">
        <v>-0.046912</v>
      </c>
      <c r="C104" s="5" t="n">
        <f aca="false">B104*$E$1</f>
        <v>-4.37060190573853</v>
      </c>
      <c r="D104" s="5" t="n">
        <f aca="false">$G$1+$K$1</f>
        <v>242.881276934999</v>
      </c>
      <c r="E104" s="5" t="n">
        <f aca="false">-A104*$E$1-($G$1*TAN(RADIANS($H$1)))-$J$1</f>
        <v>-964.848500566599</v>
      </c>
    </row>
    <row r="105" customFormat="false" ht="15" hidden="false" customHeight="false" outlineLevel="0" collapsed="false">
      <c r="A105" s="5" t="n">
        <v>0.607892</v>
      </c>
      <c r="B105" s="5" t="n">
        <v>-0.04498</v>
      </c>
      <c r="C105" s="5" t="n">
        <f aca="false">B105*$E$1</f>
        <v>-4.19060525494797</v>
      </c>
      <c r="D105" s="5" t="n">
        <f aca="false">$G$1+$K$1</f>
        <v>242.881276934999</v>
      </c>
      <c r="E105" s="5" t="n">
        <f aca="false">-A105*$E$1-($G$1*TAN(RADIANS($H$1)))-$J$1</f>
        <v>-967.057745173326</v>
      </c>
    </row>
    <row r="106" customFormat="false" ht="15" hidden="false" customHeight="false" outlineLevel="0" collapsed="false">
      <c r="A106" s="5" t="n">
        <v>0.631354</v>
      </c>
      <c r="B106" s="5" t="n">
        <v>-0.042978</v>
      </c>
      <c r="C106" s="5" t="n">
        <f aca="false">B106*$E$1</f>
        <v>-4.00408698637514</v>
      </c>
      <c r="D106" s="5" t="n">
        <f aca="false">$G$1+$K$1</f>
        <v>242.881276934999</v>
      </c>
      <c r="E106" s="5" t="n">
        <f aca="false">-A106*$E$1-($G$1*TAN(RADIANS($H$1)))-$J$1</f>
        <v>-969.243605122005</v>
      </c>
    </row>
    <row r="107" customFormat="false" ht="15" hidden="false" customHeight="false" outlineLevel="0" collapsed="false">
      <c r="A107" s="5" t="n">
        <v>0.654509</v>
      </c>
      <c r="B107" s="5" t="n">
        <v>-0.040917</v>
      </c>
      <c r="C107" s="5" t="n">
        <f aca="false">B107*$E$1</f>
        <v>-3.81207192567155</v>
      </c>
      <c r="D107" s="5" t="n">
        <f aca="false">$G$1+$K$1</f>
        <v>242.881276934999</v>
      </c>
      <c r="E107" s="5" t="n">
        <f aca="false">-A107*$E$1-($G$1*TAN(RADIANS($H$1)))-$J$1</f>
        <v>-971.40086311841</v>
      </c>
    </row>
    <row r="108" customFormat="false" ht="15" hidden="false" customHeight="false" outlineLevel="0" collapsed="false">
      <c r="A108" s="5" t="n">
        <v>0.677303</v>
      </c>
      <c r="B108" s="5" t="n">
        <v>-0.038811</v>
      </c>
      <c r="C108" s="5" t="n">
        <f aca="false">B108*$E$1</f>
        <v>-3.61586439639363</v>
      </c>
      <c r="D108" s="5" t="n">
        <f aca="false">$G$1+$K$1</f>
        <v>242.881276934999</v>
      </c>
      <c r="E108" s="5" t="n">
        <f aca="false">-A108*$E$1-($G$1*TAN(RADIANS($H$1)))-$J$1</f>
        <v>-973.524488200253</v>
      </c>
    </row>
    <row r="109" customFormat="false" ht="15" hidden="false" customHeight="false" outlineLevel="0" collapsed="false">
      <c r="A109" s="5" t="n">
        <v>0.699682</v>
      </c>
      <c r="B109" s="5" t="n">
        <v>-0.03667</v>
      </c>
      <c r="C109" s="5" t="n">
        <f aca="false">B109*$E$1</f>
        <v>-3.41639605822459</v>
      </c>
      <c r="D109" s="5" t="n">
        <f aca="false">$G$1+$K$1</f>
        <v>242.881276934999</v>
      </c>
      <c r="E109" s="5" t="n">
        <f aca="false">-A109*$E$1-($G$1*TAN(RADIANS($H$1)))-$J$1</f>
        <v>-975.609449405244</v>
      </c>
    </row>
    <row r="110" customFormat="false" ht="15" hidden="false" customHeight="false" outlineLevel="0" collapsed="false">
      <c r="A110" s="5" t="n">
        <v>0.721596</v>
      </c>
      <c r="B110" s="5" t="n">
        <v>-0.034506</v>
      </c>
      <c r="C110" s="5" t="n">
        <f aca="false">B110*$E$1</f>
        <v>-3.21478490278423</v>
      </c>
      <c r="D110" s="5" t="n">
        <f aca="false">$G$1+$K$1</f>
        <v>242.881276934999</v>
      </c>
      <c r="E110" s="5" t="n">
        <f aca="false">-A110*$E$1-($G$1*TAN(RADIANS($H$1)))-$J$1</f>
        <v>-977.651088434967</v>
      </c>
    </row>
    <row r="111" customFormat="false" ht="15" hidden="false" customHeight="false" outlineLevel="0" collapsed="false">
      <c r="A111" s="5" t="n">
        <v>0.742992</v>
      </c>
      <c r="B111" s="5" t="n">
        <v>-0.032329</v>
      </c>
      <c r="C111" s="5" t="n">
        <f aca="false">B111*$E$1</f>
        <v>-3.01196258975573</v>
      </c>
      <c r="D111" s="5" t="n">
        <f aca="false">$G$1+$K$1</f>
        <v>242.881276934999</v>
      </c>
      <c r="E111" s="5" t="n">
        <f aca="false">-A111*$E$1-($G$1*TAN(RADIANS($H$1)))-$J$1</f>
        <v>-979.6444674931</v>
      </c>
    </row>
    <row r="112" customFormat="false" ht="15" hidden="false" customHeight="false" outlineLevel="0" collapsed="false">
      <c r="A112" s="5" t="n">
        <v>0.76382</v>
      </c>
      <c r="B112" s="5" t="n">
        <v>-0.030152</v>
      </c>
      <c r="C112" s="5" t="n">
        <f aca="false">B112*$E$1</f>
        <v>-2.80914027672724</v>
      </c>
      <c r="D112" s="5" t="n">
        <f aca="false">$G$1+$K$1</f>
        <v>242.881276934999</v>
      </c>
      <c r="E112" s="5" t="n">
        <f aca="false">-A112*$E$1-($G$1*TAN(RADIANS($H$1)))-$J$1</f>
        <v>-981.58492828123</v>
      </c>
    </row>
    <row r="113" customFormat="false" ht="15" hidden="false" customHeight="false" outlineLevel="0" collapsed="false">
      <c r="A113" s="5" t="n">
        <v>0.784032</v>
      </c>
      <c r="B113" s="5" t="n">
        <v>-0.027983</v>
      </c>
      <c r="C113" s="5" t="n">
        <f aca="false">B113*$E$1</f>
        <v>-2.60706329144529</v>
      </c>
      <c r="D113" s="5" t="n">
        <f aca="false">$G$1+$K$1</f>
        <v>242.881276934999</v>
      </c>
      <c r="E113" s="5" t="n">
        <f aca="false">-A113*$E$1-($G$1*TAN(RADIANS($H$1)))-$J$1</f>
        <v>-983.467998832875</v>
      </c>
    </row>
    <row r="114" customFormat="false" ht="15" hidden="false" customHeight="false" outlineLevel="0" collapsed="false">
      <c r="A114" s="5" t="n">
        <v>0.803581</v>
      </c>
      <c r="B114" s="5" t="n">
        <v>-0.025834</v>
      </c>
      <c r="C114" s="5" t="n">
        <f aca="false">B114*$E$1</f>
        <v>-2.4068496255297</v>
      </c>
      <c r="D114" s="5" t="n">
        <f aca="false">$G$1+$K$1</f>
        <v>242.881276934999</v>
      </c>
      <c r="E114" s="5" t="n">
        <f aca="false">-A114*$E$1-($G$1*TAN(RADIANS($H$1)))-$J$1</f>
        <v>-985.289300347526</v>
      </c>
    </row>
    <row r="115" customFormat="false" ht="15" hidden="false" customHeight="false" outlineLevel="0" collapsed="false">
      <c r="A115" s="5" t="n">
        <v>0.822421</v>
      </c>
      <c r="B115" s="5" t="n">
        <v>-0.023714</v>
      </c>
      <c r="C115" s="5" t="n">
        <f aca="false">B115*$E$1</f>
        <v>-2.20933777269534</v>
      </c>
      <c r="D115" s="5" t="n">
        <f aca="false">$G$1+$K$1</f>
        <v>242.881276934999</v>
      </c>
      <c r="E115" s="5" t="n">
        <f aca="false">-A115*$E$1-($G$1*TAN(RADIANS($H$1)))-$J$1</f>
        <v>-987.044547190639</v>
      </c>
    </row>
    <row r="116" customFormat="false" ht="15" hidden="false" customHeight="false" outlineLevel="0" collapsed="false">
      <c r="A116" s="5" t="n">
        <v>0.840508</v>
      </c>
      <c r="B116" s="5" t="n">
        <v>-0.021635</v>
      </c>
      <c r="C116" s="5" t="n">
        <f aca="false">B116*$E$1</f>
        <v>-2.01564572456201</v>
      </c>
      <c r="D116" s="5" t="n">
        <f aca="false">$G$1+$K$1</f>
        <v>242.881276934999</v>
      </c>
      <c r="E116" s="5" t="n">
        <f aca="false">-A116*$E$1-($G$1*TAN(RADIANS($H$1)))-$J$1</f>
        <v>-988.729640059608</v>
      </c>
    </row>
    <row r="117" customFormat="false" ht="15" hidden="false" customHeight="false" outlineLevel="0" collapsed="false">
      <c r="A117" s="5" t="n">
        <v>0.8578</v>
      </c>
      <c r="B117" s="5" t="n">
        <v>-0.019605</v>
      </c>
      <c r="C117" s="5" t="n">
        <f aca="false">B117*$E$1</f>
        <v>-1.82651880887628</v>
      </c>
      <c r="D117" s="5" t="n">
        <f aca="false">$G$1+$K$1</f>
        <v>242.881276934999</v>
      </c>
      <c r="E117" s="5" t="n">
        <f aca="false">-A117*$E$1-($G$1*TAN(RADIANS($H$1)))-$J$1</f>
        <v>-990.340665983764</v>
      </c>
    </row>
    <row r="118" customFormat="false" ht="15" hidden="false" customHeight="false" outlineLevel="0" collapsed="false">
      <c r="A118" s="5" t="n">
        <v>0.874255</v>
      </c>
      <c r="B118" s="5" t="n">
        <v>-0.017635</v>
      </c>
      <c r="C118" s="5" t="n">
        <f aca="false">B118*$E$1</f>
        <v>-1.64298185128963</v>
      </c>
      <c r="D118" s="5" t="n">
        <f aca="false">$G$1+$K$1</f>
        <v>242.881276934999</v>
      </c>
      <c r="E118" s="5" t="n">
        <f aca="false">-A118*$E$1-($G$1*TAN(RADIANS($H$1)))-$J$1</f>
        <v>-991.873711992439</v>
      </c>
    </row>
    <row r="119" customFormat="false" ht="15" hidden="false" customHeight="false" outlineLevel="0" collapsed="false">
      <c r="A119" s="5" t="n">
        <v>0.889837</v>
      </c>
      <c r="B119" s="5" t="n">
        <v>-0.015735</v>
      </c>
      <c r="C119" s="5" t="n">
        <f aca="false">B119*$E$1</f>
        <v>-1.46596651148524</v>
      </c>
      <c r="D119" s="5" t="n">
        <f aca="false">$G$1+$K$1</f>
        <v>242.881276934999</v>
      </c>
      <c r="E119" s="5" t="n">
        <f aca="false">-A119*$E$1-($G$1*TAN(RADIANS($H$1)))-$J$1</f>
        <v>-993.325424110771</v>
      </c>
    </row>
    <row r="120" customFormat="false" ht="15" hidden="false" customHeight="false" outlineLevel="0" collapsed="false">
      <c r="A120" s="5" t="n">
        <v>0.904509</v>
      </c>
      <c r="B120" s="5" t="n">
        <v>-0.013914</v>
      </c>
      <c r="C120" s="5" t="n">
        <f aca="false">B120*$E$1</f>
        <v>-1.29631128317799</v>
      </c>
      <c r="D120" s="5" t="n">
        <f aca="false">$G$1+$K$1</f>
        <v>242.881276934999</v>
      </c>
      <c r="E120" s="5" t="n">
        <f aca="false">-A120*$E$1-($G$1*TAN(RADIANS($H$1)))-$J$1</f>
        <v>-994.692355197934</v>
      </c>
    </row>
    <row r="121" customFormat="false" ht="15" hidden="false" customHeight="false" outlineLevel="0" collapsed="false">
      <c r="A121" s="5" t="n">
        <v>0.918235</v>
      </c>
      <c r="B121" s="5" t="n">
        <v>-0.012182</v>
      </c>
      <c r="C121" s="5" t="n">
        <f aca="false">B121*$E$1</f>
        <v>-1.13494782605105</v>
      </c>
      <c r="D121" s="5" t="n">
        <f aca="false">$G$1+$K$1</f>
        <v>242.881276934999</v>
      </c>
      <c r="E121" s="5" t="n">
        <f aca="false">-A121*$E$1-($G$1*TAN(RADIANS($H$1)))-$J$1</f>
        <v>-995.971151279069</v>
      </c>
    </row>
    <row r="122" customFormat="false" ht="15" hidden="false" customHeight="false" outlineLevel="0" collapsed="false">
      <c r="A122" s="5" t="n">
        <v>0.930985</v>
      </c>
      <c r="B122" s="5" t="n">
        <v>-0.010549</v>
      </c>
      <c r="C122" s="5" t="n">
        <f aca="false">B122*$E$1</f>
        <v>-0.982807799787598</v>
      </c>
      <c r="D122" s="5" t="n">
        <f aca="false">$G$1+$K$1</f>
        <v>242.881276934999</v>
      </c>
      <c r="E122" s="5" t="n">
        <f aca="false">-A122*$E$1-($G$1*TAN(RADIANS($H$1)))-$J$1</f>
        <v>-997.159017375124</v>
      </c>
    </row>
    <row r="123" customFormat="false" ht="15" hidden="false" customHeight="false" outlineLevel="0" collapsed="false">
      <c r="A123" s="5" t="n">
        <v>0.942728</v>
      </c>
      <c r="B123" s="5" t="n">
        <v>-0.009022</v>
      </c>
      <c r="C123" s="5" t="n">
        <f aca="false">B123*$E$1</f>
        <v>-0.840543366165865</v>
      </c>
      <c r="D123" s="5" t="n">
        <f aca="false">$G$1+$K$1</f>
        <v>242.881276934999</v>
      </c>
      <c r="E123" s="5" t="n">
        <f aca="false">-A123*$E$1-($G$1*TAN(RADIANS($H$1)))-$J$1</f>
        <v>-998.253065341084</v>
      </c>
    </row>
    <row r="124" customFormat="false" ht="15" hidden="false" customHeight="false" outlineLevel="0" collapsed="false">
      <c r="A124" s="5" t="n">
        <v>0.953437</v>
      </c>
      <c r="B124" s="5" t="n">
        <v>-0.007611</v>
      </c>
      <c r="C124" s="5" t="n">
        <f aca="false">B124*$E$1</f>
        <v>-0.709086184869031</v>
      </c>
      <c r="D124" s="5" t="n">
        <f aca="false">$G$1+$K$1</f>
        <v>242.881276934999</v>
      </c>
      <c r="E124" s="5" t="n">
        <f aca="false">-A124*$E$1-($G$1*TAN(RADIANS($H$1)))-$J$1</f>
        <v>-999.250779695802</v>
      </c>
    </row>
    <row r="125" customFormat="false" ht="15" hidden="false" customHeight="false" outlineLevel="0" collapsed="false">
      <c r="A125" s="5" t="n">
        <v>0.963087</v>
      </c>
      <c r="B125" s="5" t="n">
        <v>-0.006324</v>
      </c>
      <c r="C125" s="5" t="n">
        <f aca="false">B125*$E$1</f>
        <v>-0.589181583643641</v>
      </c>
      <c r="D125" s="5" t="n">
        <f aca="false">$G$1+$K$1</f>
        <v>242.881276934999</v>
      </c>
      <c r="E125" s="5" t="n">
        <f aca="false">-A125*$E$1-($G$1*TAN(RADIANS($H$1)))-$J$1</f>
        <v>-1000.14983129007</v>
      </c>
    </row>
    <row r="126" customFormat="false" ht="15" hidden="false" customHeight="false" outlineLevel="0" collapsed="false">
      <c r="A126" s="5" t="n">
        <v>0.971656</v>
      </c>
      <c r="B126" s="5" t="n">
        <v>-0.005169</v>
      </c>
      <c r="C126" s="5" t="n">
        <f aca="false">B126*$E$1</f>
        <v>-0.48157489023624</v>
      </c>
      <c r="D126" s="5" t="n">
        <f aca="false">$G$1+$K$1</f>
        <v>242.881276934999</v>
      </c>
      <c r="E126" s="5" t="n">
        <f aca="false">-A126*$E$1-($G$1*TAN(RADIANS($H$1)))-$J$1</f>
        <v>-1000.94817047259</v>
      </c>
    </row>
    <row r="127" customFormat="false" ht="15" hidden="false" customHeight="false" outlineLevel="0" collapsed="false">
      <c r="A127" s="5" t="n">
        <v>0.979123</v>
      </c>
      <c r="B127" s="5" t="n">
        <v>-0.004152</v>
      </c>
      <c r="C127" s="5" t="n">
        <f aca="false">B127*$E$1</f>
        <v>-0.386825100456736</v>
      </c>
      <c r="D127" s="5" t="n">
        <f aca="false">$G$1+$K$1</f>
        <v>242.881276934999</v>
      </c>
      <c r="E127" s="5" t="n">
        <f aca="false">-A127*$E$1-($G$1*TAN(RADIANS($H$1)))-$J$1</f>
        <v>-1001.64384075802</v>
      </c>
    </row>
    <row r="128" customFormat="false" ht="15" hidden="false" customHeight="false" outlineLevel="0" collapsed="false">
      <c r="A128" s="5" t="n">
        <v>0.985471</v>
      </c>
      <c r="B128" s="5" t="n">
        <v>-0.00328</v>
      </c>
      <c r="C128" s="5" t="n">
        <f aca="false">B128*$E$1</f>
        <v>-0.305584376083356</v>
      </c>
      <c r="D128" s="5" t="n">
        <f aca="false">$G$1+$K$1</f>
        <v>242.881276934999</v>
      </c>
      <c r="E128" s="5" t="n">
        <f aca="false">-A128*$E$1-($G$1*TAN(RADIANS($H$1)))-$J$1</f>
        <v>-1002.2352583249</v>
      </c>
    </row>
    <row r="129" customFormat="false" ht="15" hidden="false" customHeight="false" outlineLevel="0" collapsed="false">
      <c r="A129" s="5" t="n">
        <v>0.990685</v>
      </c>
      <c r="B129" s="5" t="n">
        <v>-0.00256</v>
      </c>
      <c r="C129" s="5" t="n">
        <f aca="false">B129*$E$1</f>
        <v>-0.238504878894326</v>
      </c>
      <c r="D129" s="5" t="n">
        <f aca="false">$G$1+$K$1</f>
        <v>242.881276934999</v>
      </c>
      <c r="E129" s="5" t="n">
        <f aca="false">-A129*$E$1-($G$1*TAN(RADIANS($H$1)))-$J$1</f>
        <v>-1002.72102568371</v>
      </c>
    </row>
    <row r="130" customFormat="false" ht="15" hidden="false" customHeight="false" outlineLevel="0" collapsed="false">
      <c r="A130" s="5" t="n">
        <v>0.994753</v>
      </c>
      <c r="B130" s="5" t="n">
        <v>-0.001994</v>
      </c>
      <c r="C130" s="5" t="n">
        <f aca="false">B130*$E$1</f>
        <v>-0.185772940826284</v>
      </c>
      <c r="D130" s="5" t="n">
        <f aca="false">$G$1+$K$1</f>
        <v>242.881276934999</v>
      </c>
      <c r="E130" s="5" t="n">
        <f aca="false">-A130*$E$1-($G$1*TAN(RADIANS($H$1)))-$J$1</f>
        <v>-1003.10002484283</v>
      </c>
    </row>
    <row r="131" customFormat="false" ht="15" hidden="false" customHeight="false" outlineLevel="0" collapsed="false">
      <c r="A131" s="5" t="n">
        <v>0.997666</v>
      </c>
      <c r="B131" s="5" t="n">
        <v>-0.001587</v>
      </c>
      <c r="C131" s="5" t="n">
        <f aca="false">B131*$E$1</f>
        <v>-0.147854391720819</v>
      </c>
      <c r="D131" s="5" t="n">
        <f aca="false">$G$1+$K$1</f>
        <v>242.881276934999</v>
      </c>
      <c r="E131" s="5" t="n">
        <f aca="false">-A131*$E$1-($G$1*TAN(RADIANS($H$1)))-$J$1</f>
        <v>-1003.37141730854</v>
      </c>
    </row>
    <row r="132" customFormat="false" ht="15" hidden="false" customHeight="false" outlineLevel="0" collapsed="false">
      <c r="A132" s="5" t="n">
        <v>0.999416</v>
      </c>
      <c r="B132" s="5" t="n">
        <v>-0.001342</v>
      </c>
      <c r="C132" s="5" t="n">
        <f aca="false">B132*$E$1</f>
        <v>-0.125028729482885</v>
      </c>
      <c r="D132" s="5" t="n">
        <f aca="false">$G$1+$K$1</f>
        <v>242.881276934999</v>
      </c>
      <c r="E132" s="5" t="n">
        <f aca="false">-A132*$E$1-($G$1*TAN(RADIANS($H$1)))-$J$1</f>
        <v>-1003.5344577531</v>
      </c>
    </row>
    <row r="133" customFormat="false" ht="15" hidden="false" customHeight="false" outlineLevel="0" collapsed="false">
      <c r="A133" s="5" t="n">
        <v>1</v>
      </c>
      <c r="B133" s="6" t="n">
        <v>0</v>
      </c>
      <c r="C133" s="5" t="n">
        <f aca="false">B133*$E$1</f>
        <v>0</v>
      </c>
      <c r="D133" s="5" t="n">
        <f aca="false">$G$1+$K$1</f>
        <v>242.881276934999</v>
      </c>
      <c r="E133" s="5" t="n">
        <f aca="false">-A133*$E$1-($G$1*TAN(RADIANS($H$1)))-$J$1</f>
        <v>-1003.5888666786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2026-08-01T20:52:42Z</dcterms:created>
  <dc:creator>openpyxl</dc:creator>
  <dc:description/>
  <dc:language>en-US</dc:language>
  <cp:lastModifiedBy/>
  <dcterms:modified xsi:type="dcterms:W3CDTF">2026-08-01T20:52:42Z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