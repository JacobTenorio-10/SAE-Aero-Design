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README" sheetId="1" state="visible" r:id="rId3"/>
    <sheet name="HT_Root" sheetId="2" state="visible" r:id="rId4"/>
    <sheet name="HT_Tip" sheetId="3" state="visible" r:id="rId5"/>
    <sheet name="VT_Root" sheetId="4" state="visible" r:id="rId6"/>
    <sheet name="VT_Ti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<sst xmlns="http://schemas.openxmlformats.org/spreadsheetml/2006/main" count="107" uniqueCount="68">
  <si>
    <t xml:space="preserve">AIRCRAFT_EMPENNAGE_TRANSFORM_MICRO26 — SAE Aero 2026 Micro, guide §8.6</t>
  </si>
  <si>
    <t xml:space="preserve">Derived artifact. Master data lives in skeleton_equations_micro.txt and NACA0012_coords_raw.txt.</t>
  </si>
  <si>
    <t xml:space="preserve">Preferred regeneration path: python3 gen_empennage_xyz.py — it reads the equations file directly and</t>
  </si>
  <si>
    <t xml:space="preserve">writes the same eight .txt streams this workbook exports. Use this workbook to see the transform, or</t>
  </si>
  <si>
    <t xml:space="preserve">to follow §8.6 Part A by hand.</t>
  </si>
  <si>
    <t xml:space="preserve">WHICH CELLS TO EDIT</t>
  </si>
  <si>
    <t xml:space="preserve">Blue-on-yellow cells in Row 1 of each sheet (E1..L1) are the only inputs; everything else is a formula.</t>
  </si>
  <si>
    <t xml:space="preserve">Re-enter Row 1 from Tools ▸ Equations ▸ Value column whenever a tail global moves.</t>
  </si>
  <si>
    <t xml:space="preserve">Columns A/B hold the normalised NACA 0012 loop in rows 3..133. LE apex row = 68.</t>
  </si>
  <si>
    <t xml:space="preserve">Trailing edge is CLOSED: B3 and B133 are overridden to 0 (the raw file carries ±0.00126).</t>
  </si>
  <si>
    <t xml:space="preserve">VERTICAL DATUM — K1 AND L1</t>
  </si>
  <si>
    <t xml:space="preserve">The empennage is referenced to AX_Long_Emp, which sits y_emp_axis above AX_Long, so every sheet carries</t>
  </si>
  <si>
    <t xml:space="preserve">L1 = y_emp_axis. Both root leading edges therefore land at the same height, Y = y_emp_axis. That is the</t>
  </si>
  <si>
    <t xml:space="preserve">design intent — do not change L1 on one surface only.</t>
  </si>
  <si>
    <t xml:space="preserve">K1 is the fin-root height measured FROM AX_Long_Emp, and it is 0: the fin roots on the boom axis. It is</t>
  </si>
  <si>
    <t xml:space="preserve">NOT h_tail_top. h_tail_top is measured from the waterline; using it here would push the fin root above</t>
  </si>
  <si>
    <t xml:space="preserve">the HT root LE. K1 is the placeholder for a future y_VT_root global — if the fin ever needs to sit proud</t>
  </si>
  <si>
    <t xml:space="preserve">of the boom, add that global and read K1 from it rather than typing a number.</t>
  </si>
  <si>
    <t xml:space="preserve">KNOWN INCONSISTENCY — h_VT_tip</t>
  </si>
  <si>
    <t xml:space="preserve">The equations file still defines h_VT_tip = h_tail_top + b_VT, which described the old waterline-seated</t>
  </si>
  <si>
    <t xml:space="preserve">The equations file still defines h_VT_tip = h_tail_top + b_VT. With the fin on the boom axis the real fin-top height is y_emp_axis + b_VT = 225.000001.</t>
  </si>
  <si>
    <t xml:space="preserve">h_VT_tip currently reads 235.789151. Nothing in this workbook uses it; anything else that does is wrong.</t>
  </si>
  <si>
    <t xml:space="preserve">INCIDENCE SENSE — READ BEFORE CHANGING F1</t>
  </si>
  <si>
    <t xml:space="preserve">i_HT is stored in the equations file as a POSITIVE magnitude (+2.0) under the positive-magnitude rule;</t>
  </si>
  <si>
    <t xml:space="preserve">the nose-DOWN direction is carried by the Flip on PLN_Incidence_HT. A spreadsheet has no plane to flip,</t>
  </si>
  <si>
    <t xml:space="preserve">so F1 on both HT sheets is entered as the NEGATIVE of i_HT. A positive F1 here builds a nose-UP</t>
  </si>
  <si>
    <t xml:space="preserve">stabiliser. Do not make i_HT negative in the equations file — check.py will fail.</t>
  </si>
  <si>
    <t xml:space="preserve">SOURCE OF THE ROW 1 VALUES — resolved from skeleton_equations_micro.txt</t>
  </si>
  <si>
    <t xml:space="preserve">    c_root_HT      = 170.000000</t>
  </si>
  <si>
    <t xml:space="preserve">    c_tip_HT       = 170.000000</t>
  </si>
  <si>
    <t xml:space="preserve">    c_root_VT      = 170.000001</t>
  </si>
  <si>
    <t xml:space="preserve">    c_tip_VT       = 90.000000</t>
  </si>
  <si>
    <t xml:space="preserve">    b_semi_HT      = 200.000000</t>
  </si>
  <si>
    <t xml:space="preserve">    b_VT           = 200.000001</t>
  </si>
  <si>
    <t xml:space="preserve">    i_HT           = 2.000000</t>
  </si>
  <si>
    <t xml:space="preserve">    sweep_HT       = 0.000000</t>
  </si>
  <si>
    <t xml:space="preserve">    sweep_VT       = 21.801409</t>
  </si>
  <si>
    <t xml:space="preserve">    dihedral_HT    = 0.000000</t>
  </si>
  <si>
    <t xml:space="preserve">    x_HT_LE_root   = 849.738494</t>
  </si>
  <si>
    <t xml:space="preserve">    x_VT_LE_root   = 849.738494</t>
  </si>
  <si>
    <t xml:space="preserve">    y_emp_axis     = 25.000000</t>
  </si>
  <si>
    <t xml:space="preserve">    K1 fin-root seat = 0.000000   (not a global yet; see above)</t>
  </si>
  <si>
    <t xml:space="preserve">PIVOT — THE EMPENNAGE DIFFERS FROM THE WING</t>
  </si>
  <si>
    <t xml:space="preserve">The HT sheets rotate each section about its LEADING EDGE, matching how XFLR5 applies a surface tilt</t>
  </si>
  <si>
    <t xml:space="preserve">angle. The wing workbook (AIRCRAFT_AIRFOIL_TRANSFORM_MICRO26.xlsx, guide §8.2) rotates about the</t>
  </si>
  <si>
    <t xml:space="preserve">QUARTER CHORD. The two differ by a rigid chordwise shift of 0.25*c*(1-cos i), and the LE-pivot form is</t>
  </si>
  <si>
    <t xml:space="preserve">what puts the HT root leading edge exactly on x_HT_LE_root, where the VT root leading edge also sits.</t>
  </si>
  <si>
    <t xml:space="preserve">The residual TE gap between the two surfaces is then c*(1-cos i), which XFLR5 has as well.</t>
  </si>
  <si>
    <t xml:space="preserve">Both conventions are identical at zero incidence. The VT sheets are unaffected — the fin has no tilt.</t>
  </si>
  <si>
    <t xml:space="preserve">HT root — NACA 0012</t>
  </si>
  <si>
    <t xml:space="preserve">x_norm</t>
  </si>
  <si>
    <t xml:space="preserve">y_norm</t>
  </si>
  <si>
    <t xml:space="preserve">SW X</t>
  </si>
  <si>
    <t xml:space="preserve">SW Y</t>
  </si>
  <si>
    <t xml:space="preserve">SW Z</t>
  </si>
  <si>
    <t xml:space="preserve">F1 incidence [deg]</t>
  </si>
  <si>
    <t xml:space="preserve">G1 span station [mm]</t>
  </si>
  <si>
    <t xml:space="preserve">H1 LE sweep [deg]</t>
  </si>
  <si>
    <t xml:space="preserve">I1 dihedral [deg]</t>
  </si>
  <si>
    <t xml:space="preserve">J1 root-LE station [mm]</t>
  </si>
  <si>
    <t xml:space="preserve">L1 empennage lift = y_emp_axis [mm]</t>
  </si>
  <si>
    <t xml:space="preserve">TE closed to 0 in B3 and B133 — see _README</t>
  </si>
  <si>
    <t xml:space="preserve">LE apex row = 68; split both streams there, including it twice</t>
  </si>
  <si>
    <t xml:space="preserve">Rotation pivot = section LEADING EDGE (XFLR5 tilt convention), not the quarter chord</t>
  </si>
  <si>
    <t xml:space="preserve">HT tip — NACA 0012</t>
  </si>
  <si>
    <t xml:space="preserve">VT root — NACA 0012</t>
  </si>
  <si>
    <t xml:space="preserve">K1 fin-root seat above AX_Long_Emp [mm]</t>
  </si>
  <si>
    <t xml:space="preserve">VT tip — NACA 0012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</si>
</sst>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4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2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2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/>
    </row>
    <row r="23" customFormat="false" ht="15" hidden="false" customHeight="true" outlineLevel="0" collapsed="false">
      <c r="A23" s="2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true" outlineLevel="0" collapsed="false">
      <c r="A25" s="3" t="s">
        <v>20</v>
      </c>
    </row>
    <row r="26" customFormat="false" ht="15" hidden="false" customHeight="true" outlineLevel="0" collapsed="false">
      <c r="A26" s="3" t="s">
        <v>21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2" t="s">
        <v>22</v>
      </c>
    </row>
    <row r="29" customFormat="false" ht="15" hidden="false" customHeight="true" outlineLevel="0" collapsed="false">
      <c r="A29" s="3" t="s">
        <v>23</v>
      </c>
    </row>
    <row r="30" customFormat="false" ht="15" hidden="false" customHeight="true" outlineLevel="0" collapsed="false">
      <c r="A30" s="3" t="s">
        <v>24</v>
      </c>
    </row>
    <row r="31" customFormat="false" ht="15" hidden="false" customHeight="true" outlineLevel="0" collapsed="false">
      <c r="A31" s="3" t="s">
        <v>25</v>
      </c>
    </row>
    <row r="32" customFormat="false" ht="15" hidden="false" customHeight="true" outlineLevel="0" collapsed="false">
      <c r="A32" s="3" t="s">
        <v>26</v>
      </c>
    </row>
    <row r="33" customFormat="false" ht="15" hidden="false" customHeight="true" outlineLevel="0" collapsed="false">
      <c r="A33" s="3"/>
    </row>
    <row r="34" customFormat="false" ht="15" hidden="false" customHeight="true" outlineLevel="0" collapsed="false">
      <c r="A34" s="2" t="s">
        <v>27</v>
      </c>
    </row>
    <row r="35" customFormat="false" ht="15" hidden="false" customHeight="true" outlineLevel="0" collapsed="false">
      <c r="A35" s="3" t="s">
        <v>28</v>
      </c>
    </row>
    <row r="36" customFormat="false" ht="15" hidden="false" customHeight="true" outlineLevel="0" collapsed="false">
      <c r="A36" s="3" t="s">
        <v>29</v>
      </c>
    </row>
    <row r="37" customFormat="false" ht="15" hidden="false" customHeight="true" outlineLevel="0" collapsed="false">
      <c r="A37" s="3" t="s">
        <v>30</v>
      </c>
    </row>
    <row r="38" customFormat="false" ht="15" hidden="false" customHeight="true" outlineLevel="0" collapsed="false">
      <c r="A38" s="3" t="s">
        <v>31</v>
      </c>
    </row>
    <row r="39" customFormat="false" ht="15" hidden="false" customHeight="true" outlineLevel="0" collapsed="false">
      <c r="A39" s="3" t="s">
        <v>32</v>
      </c>
    </row>
    <row r="40" customFormat="false" ht="15" hidden="false" customHeight="true" outlineLevel="0" collapsed="false">
      <c r="A40" s="3" t="s">
        <v>33</v>
      </c>
    </row>
    <row r="41" customFormat="false" ht="15" hidden="false" customHeight="true" outlineLevel="0" collapsed="false">
      <c r="A41" s="3" t="s">
        <v>34</v>
      </c>
    </row>
    <row r="42" customFormat="false" ht="15" hidden="false" customHeight="true" outlineLevel="0" collapsed="false">
      <c r="A42" s="3" t="s">
        <v>35</v>
      </c>
    </row>
    <row r="43" customFormat="false" ht="15" hidden="false" customHeight="true" outlineLevel="0" collapsed="false">
      <c r="A43" s="3" t="s">
        <v>36</v>
      </c>
    </row>
    <row r="44" customFormat="false" ht="15" hidden="false" customHeight="true" outlineLevel="0" collapsed="false">
      <c r="A44" s="3" t="s">
        <v>37</v>
      </c>
    </row>
    <row r="45" customFormat="false" ht="15" hidden="false" customHeight="true" outlineLevel="0" collapsed="false">
      <c r="A45" s="3" t="s">
        <v>38</v>
      </c>
    </row>
    <row r="46" customFormat="false" ht="15" hidden="false" customHeight="true" outlineLevel="0" collapsed="false">
      <c r="A46" s="3" t="s">
        <v>39</v>
      </c>
    </row>
    <row r="47" customFormat="false" ht="15" hidden="false" customHeight="true" outlineLevel="0" collapsed="false">
      <c r="A47" s="3" t="s">
        <v>40</v>
      </c>
    </row>
    <row r="48" customFormat="false" ht="15" hidden="false" customHeight="true" outlineLevel="0" collapsed="false">
      <c r="A48" s="3" t="s">
        <v>41</v>
      </c>
    </row>
    <row r="50" customFormat="false" ht="15" hidden="false" customHeight="false" outlineLevel="0" collapsed="false">
      <c r="A50" s="4" t="s">
        <v>42</v>
      </c>
    </row>
    <row r="51" customFormat="false" ht="15" hidden="false" customHeight="false" outlineLevel="0" collapsed="false">
      <c r="A51" s="5" t="s">
        <v>43</v>
      </c>
    </row>
    <row r="52" customFormat="false" ht="15" hidden="false" customHeight="false" outlineLevel="0" collapsed="false">
      <c r="A52" s="5" t="s">
        <v>44</v>
      </c>
    </row>
    <row r="53" customFormat="false" ht="15" hidden="false" customHeight="false" outlineLevel="0" collapsed="false">
      <c r="A53" s="5" t="s">
        <v>45</v>
      </c>
    </row>
    <row r="54" customFormat="false" ht="15" hidden="false" customHeight="false" outlineLevel="0" collapsed="false">
      <c r="A54" s="5" t="s">
        <v>46</v>
      </c>
    </row>
    <row r="55" customFormat="false" ht="15" hidden="false" customHeight="false" outlineLevel="0" collapsed="false">
      <c r="A55" s="5" t="s">
        <v>47</v>
      </c>
    </row>
    <row r="56" customFormat="false" ht="15" hidden="false" customHeight="false" outlineLevel="0" collapsed="false">
      <c r="A56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49</v>
      </c>
      <c r="E1" s="6" t="n">
        <v>169.999999977668</v>
      </c>
      <c r="F1" s="6" t="n">
        <v>-2</v>
      </c>
      <c r="G1" s="6" t="n">
        <v>0</v>
      </c>
      <c r="H1" s="6" t="n">
        <v>0</v>
      </c>
      <c r="I1" s="6" t="n">
        <v>0</v>
      </c>
      <c r="J1" s="6" t="n">
        <v>849.738494223775</v>
      </c>
      <c r="L1" s="6" t="n">
        <v>25</v>
      </c>
    </row>
    <row r="2" customFormat="false" ht="15" hidden="false" customHeight="true" outlineLevel="0" collapsed="false">
      <c r="A2" s="7" t="s">
        <v>50</v>
      </c>
      <c r="B2" s="7" t="s">
        <v>51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I2" s="7" t="s">
        <v>58</v>
      </c>
      <c r="J2" s="7" t="s">
        <v>59</v>
      </c>
      <c r="L2" s="7" t="s">
        <v>60</v>
      </c>
    </row>
    <row r="3" customFormat="false" ht="15" hidden="false" customHeight="true" outlineLevel="0" collapsed="false">
      <c r="A3" s="8" t="n">
        <v>1</v>
      </c>
      <c r="B3" s="9" t="n">
        <v>0</v>
      </c>
      <c r="C3" s="8" t="n">
        <f aca="false">$G$1</f>
        <v>0</v>
      </c>
      <c r="D3" s="8" t="n">
        <f aca="false">(( -A3 ) * SIN(RADIANS($F$1)) + (B3 - 0) * COS(RADIANS($F$1))) * $E$1 + ($G$1 * TAN(RADIANS($I$1))) + $L$1</f>
        <v>30.9329144386458</v>
      </c>
      <c r="E3" s="8" t="n">
        <f aca="false">(( -A3 ) * COS(RADIANS($F$1)) - (B3 - 0) * SIN(RADIANS($F$1))) * $E$1 - ($G$1 * TAN(RADIANS($H$1))) - $J$1</f>
        <v>-1019.6349347947</v>
      </c>
      <c r="N3" s="7" t="s">
        <v>61</v>
      </c>
    </row>
    <row r="4" customFormat="false" ht="15" hidden="false" customHeight="true" outlineLevel="0" collapsed="false">
      <c r="A4" s="8" t="n">
        <v>0.999416</v>
      </c>
      <c r="B4" s="8" t="n">
        <v>0.001342</v>
      </c>
      <c r="C4" s="8" t="n">
        <f aca="false">$G$1</f>
        <v>0</v>
      </c>
      <c r="D4" s="8" t="n">
        <f aca="false">(( -A4 ) * SIN(RADIANS($F$1)) + (B4 - 0) * COS(RADIANS($F$1))) * $E$1 + ($G$1 * TAN(RADIANS($I$1))) + $L$1</f>
        <v>31.1574506398598</v>
      </c>
      <c r="E4" s="8" t="n">
        <f aca="false">(( -A4 ) * COS(RADIANS($F$1)) - (B4 - 0) * SIN(RADIANS($F$1))) * $E$1 - ($G$1 * TAN(RADIANS($H$1))) - $J$1</f>
        <v>-1019.52775330223</v>
      </c>
      <c r="N4" s="7" t="s">
        <v>62</v>
      </c>
    </row>
    <row r="5" customFormat="false" ht="15" hidden="false" customHeight="true" outlineLevel="0" collapsed="false">
      <c r="A5" s="8" t="n">
        <v>0.997666</v>
      </c>
      <c r="B5" s="8" t="n">
        <v>0.001587</v>
      </c>
      <c r="C5" s="8" t="n">
        <f aca="false">$G$1</f>
        <v>0</v>
      </c>
      <c r="D5" s="8" t="n">
        <f aca="false">(( -A5 ) * SIN(RADIANS($F$1)) + (B5 - 0) * COS(RADIANS($F$1))) * $E$1 + ($G$1 * TAN(RADIANS($I$1))) + $L$1</f>
        <v>31.1886926675321</v>
      </c>
      <c r="E5" s="8" t="n">
        <f aca="false">(( -A5 ) * COS(RADIANS($F$1)) - (B5 - 0) * SIN(RADIANS($F$1))) * $E$1 - ($G$1 * TAN(RADIANS($H$1))) - $J$1</f>
        <v>-1019.2289809672</v>
      </c>
      <c r="N5" s="10" t="s">
        <v>63</v>
      </c>
    </row>
    <row r="6" customFormat="false" ht="15" hidden="false" customHeight="true" outlineLevel="0" collapsed="false">
      <c r="A6" s="8" t="n">
        <v>0.994753</v>
      </c>
      <c r="B6" s="8" t="n">
        <v>0.001994</v>
      </c>
      <c r="C6" s="8" t="n">
        <f aca="false">$G$1</f>
        <v>0</v>
      </c>
      <c r="D6" s="8" t="n">
        <f aca="false">(( -A6 ) * SIN(RADIANS($F$1)) + (B6 - 0) * COS(RADIANS($F$1))) * $E$1 + ($G$1 * TAN(RADIANS($I$1))) + $L$1</f>
        <v>31.2405579390846</v>
      </c>
      <c r="E6" s="8" t="n">
        <f aca="false">(( -A6 ) * COS(RADIANS($F$1)) - (B6 - 0) * SIN(RADIANS($F$1))) * $E$1 - ($G$1 * TAN(RADIANS($H$1))) - $J$1</f>
        <v>-1018.73165793964</v>
      </c>
    </row>
    <row r="7" customFormat="false" ht="15" hidden="false" customHeight="true" outlineLevel="0" collapsed="false">
      <c r="A7" s="8" t="n">
        <v>0.990685</v>
      </c>
      <c r="B7" s="8" t="n">
        <v>0.00256</v>
      </c>
      <c r="C7" s="8" t="n">
        <f aca="false">$G$1</f>
        <v>0</v>
      </c>
      <c r="D7" s="8" t="n">
        <f aca="false">(( -A7 ) * SIN(RADIANS($F$1)) + (B7 - 0) * COS(RADIANS($F$1))) * $E$1 + ($G$1 * TAN(RADIANS($I$1))) + $L$1</f>
        <v>31.3125842285114</v>
      </c>
      <c r="E7" s="8" t="n">
        <f aca="false">(( -A7 ) * COS(RADIANS($F$1)) - (B7 - 0) * SIN(RADIANS($F$1))) * $E$1 - ($G$1 * TAN(RADIANS($H$1))) - $J$1</f>
        <v>-1018.03716118982</v>
      </c>
    </row>
    <row r="8" customFormat="false" ht="15" hidden="false" customHeight="true" outlineLevel="0" collapsed="false">
      <c r="A8" s="8" t="n">
        <v>0.985471</v>
      </c>
      <c r="B8" s="8" t="n">
        <v>0.00328</v>
      </c>
      <c r="C8" s="8" t="n">
        <f aca="false">$G$1</f>
        <v>0</v>
      </c>
      <c r="D8" s="8" t="n">
        <f aca="false">(( -A8 ) * SIN(RADIANS($F$1)) + (B8 - 0) * COS(RADIANS($F$1))) * $E$1 + ($G$1 * TAN(RADIANS($I$1))) + $L$1</f>
        <v>31.4039754498393</v>
      </c>
      <c r="E8" s="8" t="n">
        <f aca="false">(( -A8 ) * COS(RADIANS($F$1)) - (B8 - 0) * SIN(RADIANS($F$1))) * $E$1 - ($G$1 * TAN(RADIANS($H$1))) - $J$1</f>
        <v>-1017.14704945029</v>
      </c>
    </row>
    <row r="9" customFormat="false" ht="15" hidden="false" customHeight="true" outlineLevel="0" collapsed="false">
      <c r="A9" s="8" t="n">
        <v>0.979123</v>
      </c>
      <c r="B9" s="8" t="n">
        <v>0.004152</v>
      </c>
      <c r="C9" s="8" t="n">
        <f aca="false">$G$1</f>
        <v>0</v>
      </c>
      <c r="D9" s="8" t="n">
        <f aca="false">(( -A9 ) * SIN(RADIANS($F$1)) + (B9 - 0) * COS(RADIANS($F$1))) * $E$1 + ($G$1 * TAN(RADIANS($I$1))) + $L$1</f>
        <v>31.5144630051607</v>
      </c>
      <c r="E9" s="8" t="n">
        <f aca="false">(( -A9 ) * COS(RADIANS($F$1)) - (B9 - 0) * SIN(RADIANS($F$1))) * $E$1 - ($G$1 * TAN(RADIANS($H$1))) - $J$1</f>
        <v>-1016.06337334415</v>
      </c>
    </row>
    <row r="10" customFormat="false" ht="15" hidden="false" customHeight="true" outlineLevel="0" collapsed="false">
      <c r="A10" s="8" t="n">
        <v>0.971656</v>
      </c>
      <c r="B10" s="8" t="n">
        <v>0.005169</v>
      </c>
      <c r="C10" s="8" t="n">
        <f aca="false">$G$1</f>
        <v>0</v>
      </c>
      <c r="D10" s="8" t="n">
        <f aca="false">(( -A10 ) * SIN(RADIANS($F$1)) + (B10 - 0) * COS(RADIANS($F$1))) * $E$1 + ($G$1 * TAN(RADIANS($I$1))) + $L$1</f>
        <v>31.6429466131079</v>
      </c>
      <c r="E10" s="8" t="n">
        <f aca="false">(( -A10 ) * COS(RADIANS($F$1)) - (B10 - 0) * SIN(RADIANS($F$1))) * $E$1 - ($G$1 * TAN(RADIANS($H$1))) - $J$1</f>
        <v>-1014.78872284843</v>
      </c>
    </row>
    <row r="11" customFormat="false" ht="15" hidden="false" customHeight="true" outlineLevel="0" collapsed="false">
      <c r="A11" s="8" t="n">
        <v>0.963087</v>
      </c>
      <c r="B11" s="8" t="n">
        <v>0.006324</v>
      </c>
      <c r="C11" s="8" t="n">
        <f aca="false">$G$1</f>
        <v>0</v>
      </c>
      <c r="D11" s="8" t="n">
        <f aca="false">(( -A11 ) * SIN(RADIANS($F$1)) + (B11 - 0) * COS(RADIANS($F$1))) * $E$1 + ($G$1 * TAN(RADIANS($I$1))) + $L$1</f>
        <v>31.7883378581426</v>
      </c>
      <c r="E11" s="8" t="n">
        <f aca="false">(( -A11 ) * COS(RADIANS($F$1)) - (B11 - 0) * SIN(RADIANS($F$1))) * $E$1 - ($G$1 * TAN(RADIANS($H$1))) - $J$1</f>
        <v>-1013.326027733</v>
      </c>
    </row>
    <row r="12" customFormat="false" ht="15" hidden="false" customHeight="true" outlineLevel="0" collapsed="false">
      <c r="A12" s="8" t="n">
        <v>0.953437</v>
      </c>
      <c r="B12" s="8" t="n">
        <v>0.007611</v>
      </c>
      <c r="C12" s="8" t="n">
        <f aca="false">$G$1</f>
        <v>0</v>
      </c>
      <c r="D12" s="8" t="n">
        <f aca="false">(( -A12 ) * SIN(RADIANS($F$1)) + (B12 - 0) * COS(RADIANS($F$1))) * $E$1 + ($G$1 * TAN(RADIANS($I$1))) + $L$1</f>
        <v>31.9497419528245</v>
      </c>
      <c r="E12" s="8" t="n">
        <f aca="false">(( -A12 ) * COS(RADIANS($F$1)) - (B12 - 0) * SIN(RADIANS($F$1))) * $E$1 - ($G$1 * TAN(RADIANS($H$1))) - $J$1</f>
        <v>-1011.67889142061</v>
      </c>
    </row>
    <row r="13" customFormat="false" ht="15" hidden="false" customHeight="true" outlineLevel="0" collapsed="false">
      <c r="A13" s="8" t="n">
        <v>0.942728</v>
      </c>
      <c r="B13" s="8" t="n">
        <v>0.009022</v>
      </c>
      <c r="C13" s="8" t="n">
        <f aca="false">$G$1</f>
        <v>0</v>
      </c>
      <c r="D13" s="8" t="n">
        <f aca="false">(( -A13 ) * SIN(RADIANS($F$1)) + (B13 - 0) * COS(RADIANS($F$1))) * $E$1 + ($G$1 * TAN(RADIANS($I$1))) + $L$1</f>
        <v>32.1259302497466</v>
      </c>
      <c r="E13" s="8" t="n">
        <f aca="false">(( -A13 ) * COS(RADIANS($F$1)) - (B13 - 0) * SIN(RADIANS($F$1))) * $E$1 - ($G$1 * TAN(RADIANS($H$1))) - $J$1</f>
        <v>-1009.85109909626</v>
      </c>
    </row>
    <row r="14" customFormat="false" ht="15" hidden="false" customHeight="true" outlineLevel="0" collapsed="false">
      <c r="A14" s="8" t="n">
        <v>0.930985</v>
      </c>
      <c r="B14" s="8" t="n">
        <v>0.010549</v>
      </c>
      <c r="C14" s="8" t="n">
        <f aca="false">$G$1</f>
        <v>0</v>
      </c>
      <c r="D14" s="8" t="n">
        <f aca="false">(( -A14 ) * SIN(RADIANS($F$1)) + (B14 - 0) * COS(RADIANS($F$1))) * $E$1 + ($G$1 * TAN(RADIANS($I$1))) + $L$1</f>
        <v>32.3156919002454</v>
      </c>
      <c r="E14" s="8" t="n">
        <f aca="false">(( -A14 ) * COS(RADIANS($F$1)) - (B14 - 0) * SIN(RADIANS($F$1))) * $E$1 - ($G$1 * TAN(RADIANS($H$1))) - $J$1</f>
        <v>-1007.84694563429</v>
      </c>
    </row>
    <row r="15" customFormat="false" ht="15" hidden="false" customHeight="true" outlineLevel="0" collapsed="false">
      <c r="A15" s="8" t="n">
        <v>0.918235</v>
      </c>
      <c r="B15" s="8" t="n">
        <v>0.012182</v>
      </c>
      <c r="C15" s="8" t="n">
        <f aca="false">$G$1</f>
        <v>0</v>
      </c>
      <c r="D15" s="8" t="n">
        <f aca="false">(( -A15 ) * SIN(RADIANS($F$1)) + (B15 - 0) * COS(RADIANS($F$1))) * $E$1 + ($G$1 * TAN(RADIANS($I$1))) + $L$1</f>
        <v>32.517488128605</v>
      </c>
      <c r="E15" s="8" t="n">
        <f aca="false">(( -A15 ) * COS(RADIANS($F$1)) - (B15 - 0) * SIN(RADIANS($F$1))) * $E$1 - ($G$1 * TAN(RADIANS($H$1))) - $J$1</f>
        <v>-1005.67107756773</v>
      </c>
    </row>
    <row r="16" customFormat="false" ht="15" hidden="false" customHeight="true" outlineLevel="0" collapsed="false">
      <c r="A16" s="8" t="n">
        <v>0.904509</v>
      </c>
      <c r="B16" s="8" t="n">
        <v>0.013914</v>
      </c>
      <c r="C16" s="8" t="n">
        <f aca="false">$G$1</f>
        <v>0</v>
      </c>
      <c r="D16" s="8" t="n">
        <f aca="false">(( -A16 ) * SIN(RADIANS($F$1)) + (B16 - 0) * COS(RADIANS($F$1))) * $E$1 + ($G$1 * TAN(RADIANS($I$1))) + $L$1</f>
        <v>32.730313580089</v>
      </c>
      <c r="E16" s="8" t="n">
        <f aca="false">(( -A16 ) * COS(RADIANS($F$1)) - (B16 - 0) * SIN(RADIANS($F$1))) * $E$1 - ($G$1 * TAN(RADIANS($H$1))) - $J$1</f>
        <v>-1003.32880321665</v>
      </c>
    </row>
    <row r="17" customFormat="false" ht="15" hidden="false" customHeight="true" outlineLevel="0" collapsed="false">
      <c r="A17" s="8" t="n">
        <v>0.889837</v>
      </c>
      <c r="B17" s="8" t="n">
        <v>0.015735</v>
      </c>
      <c r="C17" s="8" t="n">
        <f aca="false">$G$1</f>
        <v>0</v>
      </c>
      <c r="D17" s="8" t="n">
        <f aca="false">(( -A17 ) * SIN(RADIANS($F$1)) + (B17 - 0) * COS(RADIANS($F$1))) * $E$1 + ($G$1 * TAN(RADIANS($I$1))) + $L$1</f>
        <v>32.9526472777248</v>
      </c>
      <c r="E17" s="8" t="n">
        <f aca="false">(( -A17 ) * COS(RADIANS($F$1)) - (B17 - 0) * SIN(RADIANS($F$1))) * $E$1 - ($G$1 * TAN(RADIANS($H$1))) - $J$1</f>
        <v>-1000.8252788034</v>
      </c>
    </row>
    <row r="18" customFormat="false" ht="15" hidden="false" customHeight="true" outlineLevel="0" collapsed="false">
      <c r="A18" s="8" t="n">
        <v>0.874255</v>
      </c>
      <c r="B18" s="8" t="n">
        <v>0.017635</v>
      </c>
      <c r="C18" s="8" t="n">
        <f aca="false">$G$1</f>
        <v>0</v>
      </c>
      <c r="D18" s="8" t="n">
        <f aca="false">(( -A18 ) * SIN(RADIANS($F$1)) + (B18 - 0) * COS(RADIANS($F$1))) * $E$1 + ($G$1 * TAN(RADIANS($I$1))) + $L$1</f>
        <v>33.1830038420266</v>
      </c>
      <c r="E18" s="8" t="n">
        <f aca="false">(( -A18 ) * COS(RADIANS($F$1)) - (B18 - 0) * SIN(RADIANS($F$1))) * $E$1 - ($G$1 * TAN(RADIANS($H$1))) - $J$1</f>
        <v>-998.166679928986</v>
      </c>
    </row>
    <row r="19" customFormat="false" ht="15" hidden="false" customHeight="true" outlineLevel="0" collapsed="false">
      <c r="A19" s="8" t="n">
        <v>0.8578</v>
      </c>
      <c r="B19" s="8" t="n">
        <v>0.019605</v>
      </c>
      <c r="C19" s="8" t="n">
        <f aca="false">$G$1</f>
        <v>0</v>
      </c>
      <c r="D19" s="8" t="n">
        <f aca="false">(( -A19 ) * SIN(RADIANS($F$1)) + (B19 - 0) * COS(RADIANS($F$1))) * $E$1 + ($G$1 * TAN(RADIANS($I$1))) + $L$1</f>
        <v>33.4200737228634</v>
      </c>
      <c r="E19" s="8" t="n">
        <f aca="false">(( -A19 ) * COS(RADIANS($F$1)) - (B19 - 0) * SIN(RADIANS($F$1))) * $E$1 - ($G$1 * TAN(RADIANS($H$1))) - $J$1</f>
        <v>-995.359346157947</v>
      </c>
    </row>
    <row r="20" customFormat="false" ht="15" hidden="false" customHeight="true" outlineLevel="0" collapsed="false">
      <c r="A20" s="8" t="n">
        <v>0.840508</v>
      </c>
      <c r="B20" s="8" t="n">
        <v>0.021635</v>
      </c>
      <c r="C20" s="8" t="n">
        <f aca="false">$G$1</f>
        <v>0</v>
      </c>
      <c r="D20" s="8" t="n">
        <f aca="false">(( -A20 ) * SIN(RADIANS($F$1)) + (B20 - 0) * COS(RADIANS($F$1))) * $E$1 + ($G$1 * TAN(RADIANS($I$1))) + $L$1</f>
        <v>33.6623715407493</v>
      </c>
      <c r="E20" s="8" t="n">
        <f aca="false">(( -A20 ) * COS(RADIANS($F$1)) - (B20 - 0) * SIN(RADIANS($F$1))) * $E$1 - ($G$1 * TAN(RADIANS($H$1))) - $J$1</f>
        <v>-992.409453091284</v>
      </c>
    </row>
    <row r="21" customFormat="false" ht="15" hidden="false" customHeight="true" outlineLevel="0" collapsed="false">
      <c r="A21" s="8" t="n">
        <v>0.822421</v>
      </c>
      <c r="B21" s="8" t="n">
        <v>0.023714</v>
      </c>
      <c r="C21" s="8" t="n">
        <f aca="false">$G$1</f>
        <v>0</v>
      </c>
      <c r="D21" s="8" t="n">
        <f aca="false">(( -A21 ) * SIN(RADIANS($F$1)) + (B21 - 0) * COS(RADIANS($F$1))) * $E$1 + ($G$1 * TAN(RADIANS($I$1))) + $L$1</f>
        <v>33.9082776172445</v>
      </c>
      <c r="E21" s="8" t="n">
        <f aca="false">(( -A21 ) * COS(RADIANS($F$1)) - (B21 - 0) * SIN(RADIANS($F$1))) * $E$1 - ($G$1 * TAN(RADIANS($H$1))) - $J$1</f>
        <v>-989.32420164156</v>
      </c>
    </row>
    <row r="22" customFormat="false" ht="15" hidden="false" customHeight="true" outlineLevel="0" collapsed="false">
      <c r="A22" s="8" t="n">
        <v>0.803581</v>
      </c>
      <c r="B22" s="8" t="n">
        <v>0.025834</v>
      </c>
      <c r="C22" s="8" t="n">
        <f aca="false">$G$1</f>
        <v>0</v>
      </c>
      <c r="D22" s="8" t="n">
        <f aca="false">(( -A22 ) * SIN(RADIANS($F$1)) + (B22 - 0) * COS(RADIANS($F$1))) * $E$1 + ($G$1 * TAN(RADIANS($I$1))) + $L$1</f>
        <v>34.1566819632308</v>
      </c>
      <c r="E22" s="8" t="n">
        <f aca="false">(( -A22 ) * COS(RADIANS($F$1)) - (B22 - 0) * SIN(RADIANS($F$1))) * $E$1 - ($G$1 * TAN(RADIANS($H$1))) - $J$1</f>
        <v>-986.110774922594</v>
      </c>
    </row>
    <row r="23" customFormat="false" ht="15" hidden="false" customHeight="true" outlineLevel="0" collapsed="false">
      <c r="A23" s="8" t="n">
        <v>0.784032</v>
      </c>
      <c r="B23" s="8" t="n">
        <v>0.027983</v>
      </c>
      <c r="C23" s="8" t="n">
        <f aca="false">$G$1</f>
        <v>0</v>
      </c>
      <c r="D23" s="8" t="n">
        <f aca="false">(( -A23 ) * SIN(RADIANS($F$1)) + (B23 - 0) * COS(RADIANS($F$1))) * $E$1 + ($G$1 * TAN(RADIANS($I$1))) + $L$1</f>
        <v>34.4058068696566</v>
      </c>
      <c r="E23" s="8" t="n">
        <f aca="false">(( -A23 ) * COS(RADIANS($F$1)) - (B23 - 0) * SIN(RADIANS($F$1))) * $E$1 - ($G$1 * TAN(RADIANS($H$1))) - $J$1</f>
        <v>-982.776719572744</v>
      </c>
    </row>
    <row r="24" customFormat="false" ht="15" hidden="false" customHeight="true" outlineLevel="0" collapsed="false">
      <c r="A24" s="8" t="n">
        <v>0.76382</v>
      </c>
      <c r="B24" s="8" t="n">
        <v>0.030152</v>
      </c>
      <c r="C24" s="8" t="n">
        <f aca="false">$G$1</f>
        <v>0</v>
      </c>
      <c r="D24" s="8" t="n">
        <f aca="false">(( -A24 ) * SIN(RADIANS($F$1)) + (B24 - 0) * COS(RADIANS($F$1))) * $E$1 + ($G$1 * TAN(RADIANS($I$1))) + $L$1</f>
        <v>34.654396182621</v>
      </c>
      <c r="E24" s="8" t="n">
        <f aca="false">(( -A24 ) * COS(RADIANS($F$1)) - (B24 - 0) * SIN(RADIANS($F$1))) * $E$1 - ($G$1 * TAN(RADIANS($H$1))) - $J$1</f>
        <v>-979.329904224507</v>
      </c>
    </row>
    <row r="25" customFormat="false" ht="15" hidden="false" customHeight="true" outlineLevel="0" collapsed="false">
      <c r="A25" s="8" t="n">
        <v>0.742992</v>
      </c>
      <c r="B25" s="8" t="n">
        <v>0.032329</v>
      </c>
      <c r="C25" s="8" t="n">
        <f aca="false">$G$1</f>
        <v>0</v>
      </c>
      <c r="D25" s="8" t="n">
        <f aca="false">(( -A25 ) * SIN(RADIANS($F$1)) + (B25 - 0) * COS(RADIANS($F$1))) * $E$1 + ($G$1 * TAN(RADIANS($I$1))) + $L$1</f>
        <v>34.9006899918158</v>
      </c>
      <c r="E25" s="8" t="n">
        <f aca="false">(( -A25 ) * COS(RADIANS($F$1)) - (B25 - 0) * SIN(RADIANS($F$1))) * $E$1 - ($G$1 * TAN(RADIANS($H$1))) - $J$1</f>
        <v>-975.778385205563</v>
      </c>
    </row>
    <row r="26" customFormat="false" ht="15" hidden="false" customHeight="true" outlineLevel="0" collapsed="false">
      <c r="A26" s="8" t="n">
        <v>0.721596</v>
      </c>
      <c r="B26" s="8" t="n">
        <v>0.034506</v>
      </c>
      <c r="C26" s="8" t="n">
        <f aca="false">$G$1</f>
        <v>0</v>
      </c>
      <c r="D26" s="8" t="n">
        <f aca="false">(( -A26 ) * SIN(RADIANS($F$1)) + (B26 - 0) * COS(RADIANS($F$1))) * $E$1 + ($G$1 * TAN(RADIANS($I$1))) + $L$1</f>
        <v>35.1436139056095</v>
      </c>
      <c r="E26" s="8" t="n">
        <f aca="false">(( -A26 ) * COS(RADIANS($F$1)) - (B26 - 0) * SIN(RADIANS($F$1))) * $E$1 - ($G$1 * TAN(RADIANS($H$1))) - $J$1</f>
        <v>-972.130365008374</v>
      </c>
    </row>
    <row r="27" customFormat="false" ht="15" hidden="false" customHeight="true" outlineLevel="0" collapsed="false">
      <c r="A27" s="8" t="n">
        <v>0.699682</v>
      </c>
      <c r="B27" s="8" t="n">
        <v>0.03667</v>
      </c>
      <c r="C27" s="8" t="n">
        <f aca="false">$G$1</f>
        <v>0</v>
      </c>
      <c r="D27" s="8" t="n">
        <f aca="false">(( -A27 ) * SIN(RADIANS($F$1)) + (B27 - 0) * COS(RADIANS($F$1))) * $E$1 + ($G$1 * TAN(RADIANS($I$1))) + $L$1</f>
        <v>35.3812559159965</v>
      </c>
      <c r="E27" s="8" t="n">
        <f aca="false">(( -A27 ) * COS(RADIANS($F$1)) - (B27 - 0) * SIN(RADIANS($F$1))) * $E$1 - ($G$1 * TAN(RADIANS($H$1))) - $J$1</f>
        <v>-968.394415582858</v>
      </c>
    </row>
    <row r="28" customFormat="false" ht="15" hidden="false" customHeight="true" outlineLevel="0" collapsed="false">
      <c r="A28" s="8" t="n">
        <v>0.677303</v>
      </c>
      <c r="B28" s="8" t="n">
        <v>0.038811</v>
      </c>
      <c r="C28" s="8" t="n">
        <f aca="false">$G$1</f>
        <v>0</v>
      </c>
      <c r="D28" s="8" t="n">
        <f aca="false">(( -A28 ) * SIN(RADIANS($F$1)) + (B28 - 0) * COS(RADIANS($F$1))) * $E$1 + ($G$1 * TAN(RADIANS($I$1))) + $L$1</f>
        <v>35.6122315030364</v>
      </c>
      <c r="E28" s="8" t="n">
        <f aca="false">(( -A28 ) * COS(RADIANS($F$1)) - (B28 - 0) * SIN(RADIANS($F$1))) * $E$1 - ($G$1 * TAN(RADIANS($H$1))) - $J$1</f>
        <v>-964.579600769508</v>
      </c>
    </row>
    <row r="29" customFormat="false" ht="15" hidden="false" customHeight="true" outlineLevel="0" collapsed="false">
      <c r="A29" s="8" t="n">
        <v>0.654509</v>
      </c>
      <c r="B29" s="8" t="n">
        <v>0.040917</v>
      </c>
      <c r="C29" s="8" t="n">
        <f aca="false">$G$1</f>
        <v>0</v>
      </c>
      <c r="D29" s="8" t="n">
        <f aca="false">(( -A29 ) * SIN(RADIANS($F$1)) + (B29 - 0) * COS(RADIANS($F$1))) * $E$1 + ($G$1 * TAN(RADIANS($I$1))) + $L$1</f>
        <v>35.8347985551643</v>
      </c>
      <c r="E29" s="8" t="n">
        <f aca="false">(( -A29 ) * COS(RADIANS($F$1)) - (B29 - 0) * SIN(RADIANS($F$1))) * $E$1 - ($G$1 * TAN(RADIANS($H$1))) - $J$1</f>
        <v>-960.694486585326</v>
      </c>
    </row>
    <row r="30" customFormat="false" ht="15" hidden="false" customHeight="true" outlineLevel="0" collapsed="false">
      <c r="A30" s="8" t="n">
        <v>0.631354</v>
      </c>
      <c r="B30" s="8" t="n">
        <v>0.042978</v>
      </c>
      <c r="C30" s="8" t="n">
        <f aca="false">$G$1</f>
        <v>0</v>
      </c>
      <c r="D30" s="8" t="n">
        <f aca="false">(( -A30 ) * SIN(RADIANS($F$1)) + (B30 - 0) * COS(RADIANS($F$1))) * $E$1 + ($G$1 * TAN(RADIANS($I$1))) + $L$1</f>
        <v>36.0475784853541</v>
      </c>
      <c r="E30" s="8" t="n">
        <f aca="false">(( -A30 ) * COS(RADIANS($F$1)) - (B30 - 0) * SIN(RADIANS($F$1))) * $E$1 - ($G$1 * TAN(RADIANS($H$1))) - $J$1</f>
        <v>-956.748306767248</v>
      </c>
    </row>
    <row r="31" customFormat="false" ht="15" hidden="false" customHeight="true" outlineLevel="0" collapsed="false">
      <c r="A31" s="8" t="n">
        <v>0.607892</v>
      </c>
      <c r="B31" s="8" t="n">
        <v>0.04498</v>
      </c>
      <c r="C31" s="8" t="n">
        <f aca="false">$G$1</f>
        <v>0</v>
      </c>
      <c r="D31" s="8" t="n">
        <f aca="false">(( -A31 ) * SIN(RADIANS($F$1)) + (B31 - 0) * COS(RADIANS($F$1))) * $E$1 + ($G$1 * TAN(RADIANS($I$1))) + $L$1</f>
        <v>36.2485131208176</v>
      </c>
      <c r="E31" s="8" t="n">
        <f aca="false">(( -A31 ) * COS(RADIANS($F$1)) - (B31 - 0) * SIN(RADIANS($F$1))) * $E$1 - ($G$1 * TAN(RADIANS($H$1))) - $J$1</f>
        <v>-952.750318783867</v>
      </c>
    </row>
    <row r="32" customFormat="false" ht="15" hidden="false" customHeight="true" outlineLevel="0" collapsed="false">
      <c r="A32" s="8" t="n">
        <v>0.584179</v>
      </c>
      <c r="B32" s="8" t="n">
        <v>0.046912</v>
      </c>
      <c r="C32" s="8" t="n">
        <f aca="false">$G$1</f>
        <v>0</v>
      </c>
      <c r="D32" s="8" t="n">
        <f aca="false">(( -A32 ) * SIN(RADIANS($F$1)) + (B32 - 0) * COS(RADIANS($F$1))) * $E$1 + ($G$1 * TAN(RADIANS($I$1))) + $L$1</f>
        <v>36.436065843917</v>
      </c>
      <c r="E32" s="8" t="n">
        <f aca="false">(( -A32 ) * COS(RADIANS($F$1)) - (B32 - 0) * SIN(RADIANS($F$1))) * $E$1 - ($G$1 * TAN(RADIANS($H$1))) - $J$1</f>
        <v>-948.710102097913</v>
      </c>
    </row>
    <row r="33" customFormat="false" ht="15" hidden="false" customHeight="true" outlineLevel="0" collapsed="false">
      <c r="A33" s="8" t="n">
        <v>0.560268</v>
      </c>
      <c r="B33" s="8" t="n">
        <v>0.048762</v>
      </c>
      <c r="C33" s="8" t="n">
        <f aca="false">$G$1</f>
        <v>0</v>
      </c>
      <c r="D33" s="8" t="n">
        <f aca="false">(( -A33 ) * SIN(RADIANS($F$1)) + (B33 - 0) * COS(RADIANS($F$1))) * $E$1 + ($G$1 * TAN(RADIANS($I$1))) + $L$1</f>
        <v>36.6085123418308</v>
      </c>
      <c r="E33" s="8" t="n">
        <f aca="false">(( -A33 ) * COS(RADIANS($F$1)) - (B33 - 0) * SIN(RADIANS($F$1))) * $E$1 - ($G$1 * TAN(RADIANS($H$1))) - $J$1</f>
        <v>-944.63673241571</v>
      </c>
    </row>
    <row r="34" customFormat="false" ht="15" hidden="false" customHeight="true" outlineLevel="0" collapsed="false">
      <c r="A34" s="8" t="n">
        <v>0.536217</v>
      </c>
      <c r="B34" s="8" t="n">
        <v>0.050516</v>
      </c>
      <c r="C34" s="8" t="n">
        <f aca="false">$G$1</f>
        <v>0</v>
      </c>
      <c r="D34" s="8" t="n">
        <f aca="false">(( -A34 ) * SIN(RADIANS($F$1)) + (B34 - 0) * COS(RADIANS($F$1))) * $E$1 + ($G$1 * TAN(RADIANS($I$1))) + $L$1</f>
        <v>36.7638181734283</v>
      </c>
      <c r="E34" s="8" t="n">
        <f aca="false">(( -A34 ) * COS(RADIANS($F$1)) - (B34 - 0) * SIN(RADIANS($F$1))) * $E$1 - ($G$1 * TAN(RADIANS($H$1))) - $J$1</f>
        <v>-940.540146791614</v>
      </c>
    </row>
    <row r="35" customFormat="false" ht="15" hidden="false" customHeight="true" outlineLevel="0" collapsed="false">
      <c r="A35" s="8" t="n">
        <v>0.512082</v>
      </c>
      <c r="B35" s="8" t="n">
        <v>0.052162</v>
      </c>
      <c r="C35" s="8" t="n">
        <f aca="false">$G$1</f>
        <v>0</v>
      </c>
      <c r="D35" s="8" t="n">
        <f aca="false">(( -A35 ) * SIN(RADIANS($F$1)) + (B35 - 0) * COS(RADIANS($F$1))) * $E$1 + ($G$1 * TAN(RADIANS($I$1))) + $L$1</f>
        <v>36.9002768246314</v>
      </c>
      <c r="E35" s="8" t="n">
        <f aca="false">(( -A35 ) * COS(RADIANS($F$1)) - (B35 - 0) * SIN(RADIANS($F$1))) * $E$1 - ($G$1 * TAN(RADIANS($H$1))) - $J$1</f>
        <v>-936.429930621268</v>
      </c>
    </row>
    <row r="36" customFormat="false" ht="15" hidden="false" customHeight="true" outlineLevel="0" collapsed="false">
      <c r="A36" s="8" t="n">
        <v>0.487918</v>
      </c>
      <c r="B36" s="8" t="n">
        <v>0.053687</v>
      </c>
      <c r="C36" s="8" t="n">
        <f aca="false">$G$1</f>
        <v>0</v>
      </c>
      <c r="D36" s="8" t="n">
        <f aca="false">(( -A36 ) * SIN(RADIANS($F$1)) + (B36 - 0) * COS(RADIANS($F$1))) * $E$1 + ($G$1 * TAN(RADIANS($I$1))) + $L$1</f>
        <v>37.0160059520066</v>
      </c>
      <c r="E36" s="8" t="n">
        <f aca="false">(( -A36 ) * COS(RADIANS($F$1)) - (B36 - 0) * SIN(RADIANS($F$1))) * $E$1 - ($G$1 * TAN(RADIANS($H$1))) - $J$1</f>
        <v>-932.315505336793</v>
      </c>
    </row>
    <row r="37" customFormat="false" ht="15" hidden="false" customHeight="true" outlineLevel="0" collapsed="false">
      <c r="A37" s="8" t="n">
        <v>0.463783</v>
      </c>
      <c r="B37" s="8" t="n">
        <v>0.055077</v>
      </c>
      <c r="C37" s="8" t="n">
        <f aca="false">$G$1</f>
        <v>0</v>
      </c>
      <c r="D37" s="8" t="n">
        <f aca="false">(( -A37 ) * SIN(RADIANS($F$1)) + (B37 - 0) * COS(RADIANS($F$1))) * $E$1 + ($G$1 * TAN(RADIANS($I$1))) + $L$1</f>
        <v>37.1089711144235</v>
      </c>
      <c r="E37" s="8" t="n">
        <f aca="false">(( -A37 ) * COS(RADIANS($F$1)) - (B37 - 0) * SIN(RADIANS($F$1))) * $E$1 - ($G$1 * TAN(RADIANS($H$1))) - $J$1</f>
        <v>-928.206807992544</v>
      </c>
    </row>
    <row r="38" customFormat="false" ht="15" hidden="false" customHeight="true" outlineLevel="0" collapsed="false">
      <c r="A38" s="8" t="n">
        <v>0.439732</v>
      </c>
      <c r="B38" s="8" t="n">
        <v>0.05632</v>
      </c>
      <c r="C38" s="8" t="n">
        <f aca="false">$G$1</f>
        <v>0</v>
      </c>
      <c r="D38" s="8" t="n">
        <f aca="false">(( -A38 ) * SIN(RADIANS($F$1)) + (B38 - 0) * COS(RADIANS($F$1))) * $E$1 + ($G$1 * TAN(RADIANS($I$1))) + $L$1</f>
        <v>37.1774598648893</v>
      </c>
      <c r="E38" s="8" t="n">
        <f aca="false">(( -A38 ) * COS(RADIANS($F$1)) - (B38 - 0) * SIN(RADIANS($F$1))) * $E$1 - ($G$1 * TAN(RADIANS($H$1))) - $J$1</f>
        <v>-924.113254087726</v>
      </c>
    </row>
    <row r="39" customFormat="false" ht="15" hidden="false" customHeight="true" outlineLevel="0" collapsed="false">
      <c r="A39" s="8" t="n">
        <v>0.415822</v>
      </c>
      <c r="B39" s="8" t="n">
        <v>0.057403</v>
      </c>
      <c r="C39" s="8" t="n">
        <f aca="false">$G$1</f>
        <v>0</v>
      </c>
      <c r="D39" s="8" t="n">
        <f aca="false">(( -A39 ) * SIN(RADIANS($F$1)) + (B39 - 0) * COS(RADIANS($F$1))) * $E$1 + ($G$1 * TAN(RADIANS($I$1))) + $L$1</f>
        <v>37.2196017257995</v>
      </c>
      <c r="E39" s="8" t="n">
        <f aca="false">(( -A39 ) * COS(RADIANS($F$1)) - (B39 - 0) * SIN(RADIANS($F$1))) * $E$1 - ($G$1 * TAN(RADIANS($H$1))) - $J$1</f>
        <v>-920.044604847338</v>
      </c>
    </row>
    <row r="40" customFormat="false" ht="15" hidden="false" customHeight="true" outlineLevel="0" collapsed="false">
      <c r="A40" s="8" t="n">
        <v>0.392108</v>
      </c>
      <c r="B40" s="8" t="n">
        <v>0.058314</v>
      </c>
      <c r="C40" s="8" t="n">
        <f aca="false">$G$1</f>
        <v>0</v>
      </c>
      <c r="D40" s="8" t="n">
        <f aca="false">(( -A40 ) * SIN(RADIANS($F$1)) + (B40 - 0) * COS(RADIANS($F$1))) * $E$1 + ($G$1 * TAN(RADIANS($I$1))) + $L$1</f>
        <v>37.2336842501616</v>
      </c>
      <c r="E40" s="8" t="n">
        <f aca="false">(( -A40 ) * COS(RADIANS($F$1)) - (B40 - 0) * SIN(RADIANS($F$1))) * $E$1 - ($G$1 * TAN(RADIANS($H$1))) - $J$1</f>
        <v>-916.010275770585</v>
      </c>
    </row>
    <row r="41" customFormat="false" ht="15" hidden="false" customHeight="true" outlineLevel="0" collapsed="false">
      <c r="A41" s="8" t="n">
        <v>0.368646</v>
      </c>
      <c r="B41" s="8" t="n">
        <v>0.059042</v>
      </c>
      <c r="C41" s="8" t="n">
        <f aca="false">$G$1</f>
        <v>0</v>
      </c>
      <c r="D41" s="8" t="n">
        <f aca="false">(( -A41 ) * SIN(RADIANS($F$1)) + (B41 - 0) * COS(RADIANS($F$1))) * $E$1 + ($G$1 * TAN(RADIANS($I$1))) + $L$1</f>
        <v>37.2181708203377</v>
      </c>
      <c r="E41" s="8" t="n">
        <f aca="false">(( -A41 ) * COS(RADIANS($F$1)) - (B41 - 0) * SIN(RADIANS($F$1))) * $E$1 - ($G$1 * TAN(RADIANS($H$1))) - $J$1</f>
        <v>-912.019846320199</v>
      </c>
    </row>
    <row r="42" customFormat="false" ht="15" hidden="false" customHeight="true" outlineLevel="0" collapsed="false">
      <c r="A42" s="8" t="n">
        <v>0.345492</v>
      </c>
      <c r="B42" s="8" t="n">
        <v>0.059575</v>
      </c>
      <c r="C42" s="8" t="n">
        <f aca="false">$G$1</f>
        <v>0</v>
      </c>
      <c r="D42" s="8" t="n">
        <f aca="false">(( -A42 ) * SIN(RADIANS($F$1)) + (B42 - 0) * COS(RADIANS($F$1))) * $E$1 + ($G$1 * TAN(RADIANS($I$1))) + $L$1</f>
        <v>37.1713549222496</v>
      </c>
      <c r="E42" s="8" t="n">
        <f aca="false">(( -A42 ) * COS(RADIANS($F$1)) - (B42 - 0) * SIN(RADIANS($F$1))) * $E$1 - ($G$1 * TAN(RADIANS($H$1))) - $J$1</f>
        <v>-908.082901891824</v>
      </c>
    </row>
    <row r="43" customFormat="false" ht="15" hidden="false" customHeight="true" outlineLevel="0" collapsed="false">
      <c r="A43" s="8" t="n">
        <v>0.322698</v>
      </c>
      <c r="B43" s="8" t="n">
        <v>0.059903</v>
      </c>
      <c r="C43" s="8" t="n">
        <f aca="false">$G$1</f>
        <v>0</v>
      </c>
      <c r="D43" s="8" t="n">
        <f aca="false">(( -A43 ) * SIN(RADIANS($F$1)) + (B43 - 0) * COS(RADIANS($F$1))) * $E$1 + ($G$1 * TAN(RADIANS($I$1))) + $L$1</f>
        <v>37.0918461030424</v>
      </c>
      <c r="E43" s="8" t="n">
        <f aca="false">(( -A43 ) * COS(RADIANS($F$1)) - (B43 - 0) * SIN(RADIANS($F$1))) * $E$1 - ($G$1 * TAN(RADIANS($H$1))) - $J$1</f>
        <v>-904.208336429514</v>
      </c>
    </row>
    <row r="44" customFormat="false" ht="15" hidden="false" customHeight="true" outlineLevel="0" collapsed="false">
      <c r="A44" s="8" t="n">
        <v>0.300318</v>
      </c>
      <c r="B44" s="8" t="n">
        <v>0.060017</v>
      </c>
      <c r="C44" s="8" t="n">
        <f aca="false">$G$1</f>
        <v>0</v>
      </c>
      <c r="D44" s="8" t="n">
        <f aca="false">(( -A44 ) * SIN(RADIANS($F$1)) + (B44 - 0) * COS(RADIANS($F$1))) * $E$1 + ($G$1 * TAN(RADIANS($I$1))) + $L$1</f>
        <v>36.9784356721306</v>
      </c>
      <c r="E44" s="8" t="n">
        <f aca="false">(( -A44 ) * COS(RADIANS($F$1)) - (B44 - 0) * SIN(RADIANS($F$1))) * $E$1 - ($G$1 * TAN(RADIANS($H$1))) - $J$1</f>
        <v>-900.405377737291</v>
      </c>
    </row>
    <row r="45" customFormat="false" ht="15" hidden="false" customHeight="true" outlineLevel="0" collapsed="false">
      <c r="A45" s="8" t="n">
        <v>0.278404</v>
      </c>
      <c r="B45" s="8" t="n">
        <v>0.05991</v>
      </c>
      <c r="C45" s="8" t="n">
        <f aca="false">$G$1</f>
        <v>0</v>
      </c>
      <c r="D45" s="8" t="n">
        <f aca="false">(( -A45 ) * SIN(RADIANS($F$1)) + (B45 - 0) * COS(RADIANS($F$1))) * $E$1 + ($G$1 * TAN(RADIANS($I$1))) + $L$1</f>
        <v>36.830242865981</v>
      </c>
      <c r="E45" s="8" t="n">
        <f aca="false">(( -A45 ) * COS(RADIANS($F$1)) - (B45 - 0) * SIN(RADIANS($F$1))) * $E$1 - ($G$1 * TAN(RADIANS($H$1))) - $J$1</f>
        <v>-896.682901960464</v>
      </c>
    </row>
    <row r="46" customFormat="false" ht="15" hidden="false" customHeight="true" outlineLevel="0" collapsed="false">
      <c r="A46" s="8" t="n">
        <v>0.257008</v>
      </c>
      <c r="B46" s="8" t="n">
        <v>0.059576</v>
      </c>
      <c r="C46" s="8" t="n">
        <f aca="false">$G$1</f>
        <v>0</v>
      </c>
      <c r="D46" s="8" t="n">
        <f aca="false">(( -A46 ) * SIN(RADIANS($F$1)) + (B46 - 0) * COS(RADIANS($F$1))) * $E$1 + ($G$1 * TAN(RADIANS($I$1))) + $L$1</f>
        <v>36.6465568175011</v>
      </c>
      <c r="E46" s="8" t="n">
        <f aca="false">(( -A46 ) * COS(RADIANS($F$1)) - (B46 - 0) * SIN(RADIANS($F$1))) * $E$1 - ($G$1 * TAN(RADIANS($H$1))) - $J$1</f>
        <v>-893.049779311431</v>
      </c>
    </row>
    <row r="47" customFormat="false" ht="15" hidden="false" customHeight="true" outlineLevel="0" collapsed="false">
      <c r="A47" s="8" t="n">
        <v>0.23618</v>
      </c>
      <c r="B47" s="8" t="n">
        <v>0.059008</v>
      </c>
      <c r="C47" s="8" t="n">
        <f aca="false">$G$1</f>
        <v>0</v>
      </c>
      <c r="D47" s="8" t="n">
        <f aca="false">(( -A47 ) * SIN(RADIANS($F$1)) + (B47 - 0) * COS(RADIANS($F$1))) * $E$1 + ($G$1 * TAN(RADIANS($I$1))) + $L$1</f>
        <v>36.4264848973287</v>
      </c>
      <c r="E47" s="8" t="n">
        <f aca="false">(( -A47 ) * COS(RADIANS($F$1)) - (B47 - 0) * SIN(RADIANS($F$1))) * $E$1 - ($G$1 * TAN(RADIANS($H$1))) - $J$1</f>
        <v>-889.514546142621</v>
      </c>
    </row>
    <row r="48" customFormat="false" ht="15" hidden="false" customHeight="true" outlineLevel="0" collapsed="false">
      <c r="A48" s="8" t="n">
        <v>0.215968</v>
      </c>
      <c r="B48" s="8" t="n">
        <v>0.058205</v>
      </c>
      <c r="C48" s="8" t="n">
        <f aca="false">$G$1</f>
        <v>0</v>
      </c>
      <c r="D48" s="8" t="n">
        <f aca="false">(( -A48 ) * SIN(RADIANS($F$1)) + (B48 - 0) * COS(RADIANS($F$1))) * $E$1 + ($G$1 * TAN(RADIANS($I$1))) + $L$1</f>
        <v>36.1701419889163</v>
      </c>
      <c r="E48" s="8" t="n">
        <f aca="false">(( -A48 ) * COS(RADIANS($F$1)) - (B48 - 0) * SIN(RADIANS($F$1))) * $E$1 - ($G$1 * TAN(RADIANS($H$1))) - $J$1</f>
        <v>-886.085363416096</v>
      </c>
    </row>
    <row r="49" customFormat="false" ht="15" hidden="false" customHeight="true" outlineLevel="0" collapsed="false">
      <c r="A49" s="8" t="n">
        <v>0.196419</v>
      </c>
      <c r="B49" s="8" t="n">
        <v>0.057164</v>
      </c>
      <c r="C49" s="8" t="n">
        <f aca="false">$G$1</f>
        <v>0</v>
      </c>
      <c r="D49" s="8" t="n">
        <f aca="false">(( -A49 ) * SIN(RADIANS($F$1)) + (B49 - 0) * COS(RADIANS($F$1))) * $E$1 + ($G$1 * TAN(RADIANS($I$1))) + $L$1</f>
        <v>35.8772972499209</v>
      </c>
      <c r="E49" s="8" t="n">
        <f aca="false">(( -A49 ) * COS(RADIANS($F$1)) - (B49 - 0) * SIN(RADIANS($F$1))) * $E$1 - ($G$1 * TAN(RADIANS($H$1))) - $J$1</f>
        <v>-882.770234063305</v>
      </c>
    </row>
    <row r="50" customFormat="false" ht="15" hidden="false" customHeight="true" outlineLevel="0" collapsed="false">
      <c r="A50" s="8" t="n">
        <v>0.177579</v>
      </c>
      <c r="B50" s="8" t="n">
        <v>0.055886</v>
      </c>
      <c r="C50" s="8" t="n">
        <f aca="false">$G$1</f>
        <v>0</v>
      </c>
      <c r="D50" s="8" t="n">
        <f aca="false">(( -A50 ) * SIN(RADIANS($F$1)) + (B50 - 0) * COS(RADIANS($F$1))) * $E$1 + ($G$1 * TAN(RADIANS($I$1))) + $L$1</f>
        <v>35.5483934908472</v>
      </c>
      <c r="E50" s="8" t="n">
        <f aca="false">(( -A50 ) * COS(RADIANS($F$1)) - (B50 - 0) * SIN(RADIANS($F$1))) * $E$1 - ($G$1 * TAN(RADIANS($H$1))) - $J$1</f>
        <v>-879.576967387602</v>
      </c>
    </row>
    <row r="51" customFormat="false" ht="15" hidden="false" customHeight="true" outlineLevel="0" collapsed="false">
      <c r="A51" s="8" t="n">
        <v>0.159492</v>
      </c>
      <c r="B51" s="8" t="n">
        <v>0.054372</v>
      </c>
      <c r="C51" s="8" t="n">
        <f aca="false">$G$1</f>
        <v>0</v>
      </c>
      <c r="D51" s="8" t="n">
        <f aca="false">(( -A51 ) * SIN(RADIANS($F$1)) + (B51 - 0) * COS(RADIANS($F$1))) * $E$1 + ($G$1 * TAN(RADIANS($I$1))) + $L$1</f>
        <v>35.183861656371</v>
      </c>
      <c r="E51" s="8" t="n">
        <f aca="false">(( -A51 ) * COS(RADIANS($F$1)) - (B51 - 0) * SIN(RADIANS($F$1))) * $E$1 - ($G$1 * TAN(RADIANS($H$1))) - $J$1</f>
        <v>-876.513032899455</v>
      </c>
    </row>
    <row r="52" customFormat="false" ht="15" hidden="false" customHeight="true" outlineLevel="0" collapsed="false">
      <c r="A52" s="8" t="n">
        <v>0.142201</v>
      </c>
      <c r="B52" s="8" t="n">
        <v>0.052625</v>
      </c>
      <c r="C52" s="8" t="n">
        <f aca="false">$G$1</f>
        <v>0</v>
      </c>
      <c r="D52" s="8" t="n">
        <f aca="false">(( -A52 ) * SIN(RADIANS($F$1)) + (B52 - 0) * COS(RADIANS($F$1))) * $E$1 + ($G$1 * TAN(RADIANS($I$1))) + $L$1</f>
        <v>34.784466551135</v>
      </c>
      <c r="E52" s="8" t="n">
        <f aca="false">(( -A52 ) * COS(RADIANS($F$1)) - (B52 - 0) * SIN(RADIANS($F$1))) * $E$1 - ($G$1 * TAN(RADIANS($H$1))) - $J$1</f>
        <v>-873.585718347068</v>
      </c>
    </row>
    <row r="53" customFormat="false" ht="15" hidden="false" customHeight="true" outlineLevel="0" collapsed="false">
      <c r="A53" s="8" t="n">
        <v>0.125745</v>
      </c>
      <c r="B53" s="8" t="n">
        <v>0.050651</v>
      </c>
      <c r="C53" s="8" t="n">
        <f aca="false">$G$1</f>
        <v>0</v>
      </c>
      <c r="D53" s="8" t="n">
        <f aca="false">(( -A53 ) * SIN(RADIANS($F$1)) + (B53 - 0) * COS(RADIANS($F$1))) * $E$1 + ($G$1 * TAN(RADIANS($I$1))) + $L$1</f>
        <v>34.3514589374456</v>
      </c>
      <c r="E53" s="8" t="n">
        <f aca="false">(( -A53 ) * COS(RADIANS($F$1)) - (B53 - 0) * SIN(RADIANS($F$1))) * $E$1 - ($G$1 * TAN(RADIANS($H$1))) - $J$1</f>
        <v>-870.801614094135</v>
      </c>
    </row>
    <row r="54" customFormat="false" ht="15" hidden="false" customHeight="true" outlineLevel="0" collapsed="false">
      <c r="A54" s="8" t="n">
        <v>0.110163</v>
      </c>
      <c r="B54" s="8" t="n">
        <v>0.048457</v>
      </c>
      <c r="C54" s="8" t="n">
        <f aca="false">$G$1</f>
        <v>0</v>
      </c>
      <c r="D54" s="8" t="n">
        <f aca="false">(( -A54 ) * SIN(RADIANS($F$1)) + (B54 - 0) * COS(RADIANS($F$1))) * $E$1 + ($G$1 * TAN(RADIANS($I$1))) + $L$1</f>
        <v>33.88625947405</v>
      </c>
      <c r="E54" s="8" t="n">
        <f aca="false">(( -A54 ) * COS(RADIANS($F$1)) - (B54 - 0) * SIN(RADIANS($F$1))) * $E$1 - ($G$1 * TAN(RADIANS($H$1))) - $J$1</f>
        <v>-868.167304571437</v>
      </c>
    </row>
    <row r="55" customFormat="false" ht="15" hidden="false" customHeight="true" outlineLevel="0" collapsed="false">
      <c r="A55" s="8" t="n">
        <v>0.095492</v>
      </c>
      <c r="B55" s="8" t="n">
        <v>0.046049</v>
      </c>
      <c r="C55" s="8" t="n">
        <f aca="false">$G$1</f>
        <v>0</v>
      </c>
      <c r="D55" s="8" t="n">
        <f aca="false">(( -A55 ) * SIN(RADIANS($F$1)) + (B55 - 0) * COS(RADIANS($F$1))) * $E$1 + ($G$1 * TAN(RADIANS($I$1))) + $L$1</f>
        <v>33.3901070574258</v>
      </c>
      <c r="E55" s="8" t="n">
        <f aca="false">(( -A55 ) * COS(RADIANS($F$1)) - (B55 - 0) * SIN(RADIANS($F$1))) * $E$1 - ($G$1 * TAN(RADIANS($H$1))) - $J$1</f>
        <v>-865.689040349789</v>
      </c>
    </row>
    <row r="56" customFormat="false" ht="15" hidden="false" customHeight="true" outlineLevel="0" collapsed="false">
      <c r="A56" s="8" t="n">
        <v>0.081765</v>
      </c>
      <c r="B56" s="8" t="n">
        <v>0.043437</v>
      </c>
      <c r="C56" s="8" t="n">
        <f aca="false">$G$1</f>
        <v>0</v>
      </c>
      <c r="D56" s="8" t="n">
        <f aca="false">(( -A56 ) * SIN(RADIANS($F$1)) + (B56 - 0) * COS(RADIANS($F$1))) * $E$1 + ($G$1 * TAN(RADIANS($I$1))) + $L$1</f>
        <v>32.8648964381553</v>
      </c>
      <c r="E56" s="8" t="n">
        <f aca="false">(( -A56 ) * COS(RADIANS($F$1)) - (B56 - 0) * SIN(RADIANS($F$1))) * $E$1 - ($G$1 * TAN(RADIANS($H$1))) - $J$1</f>
        <v>-863.372368682586</v>
      </c>
    </row>
    <row r="57" customFormat="false" ht="15" hidden="false" customHeight="true" outlineLevel="0" collapsed="false">
      <c r="A57" s="8" t="n">
        <v>0.069015</v>
      </c>
      <c r="B57" s="8" t="n">
        <v>0.040631</v>
      </c>
      <c r="C57" s="8" t="n">
        <f aca="false">$G$1</f>
        <v>0</v>
      </c>
      <c r="D57" s="8" t="n">
        <f aca="false">(( -A57 ) * SIN(RADIANS($F$1)) + (B57 - 0) * COS(RADIANS($F$1))) * $E$1 + ($G$1 * TAN(RADIANS($I$1))) + $L$1</f>
        <v>32.3125223668205</v>
      </c>
      <c r="E57" s="8" t="n">
        <f aca="false">(( -A57 ) * COS(RADIANS($F$1)) - (B57 - 0) * SIN(RADIANS($F$1))) * $E$1 - ($G$1 * TAN(RADIANS($H$1))) - $J$1</f>
        <v>-861.222836823221</v>
      </c>
    </row>
    <row r="58" customFormat="false" ht="15" hidden="false" customHeight="true" outlineLevel="0" collapsed="false">
      <c r="A58" s="8" t="n">
        <v>0.057272</v>
      </c>
      <c r="B58" s="8" t="n">
        <v>0.037641</v>
      </c>
      <c r="C58" s="8" t="n">
        <f aca="false">$G$1</f>
        <v>0</v>
      </c>
      <c r="D58" s="8" t="n">
        <f aca="false">(( -A58 ) * SIN(RADIANS($F$1)) + (B58 - 0) * COS(RADIANS($F$1))) * $E$1 + ($G$1 * TAN(RADIANS($I$1))) + $L$1</f>
        <v>31.7348617952604</v>
      </c>
      <c r="E58" s="8" t="n">
        <f aca="false">(( -A58 ) * COS(RADIANS($F$1)) - (B58 - 0) * SIN(RADIANS($F$1))) * $E$1 - ($G$1 * TAN(RADIANS($H$1))) - $J$1</f>
        <v>-859.245482335768</v>
      </c>
    </row>
    <row r="59" customFormat="false" ht="15" hidden="false" customHeight="true" outlineLevel="0" collapsed="false">
      <c r="A59" s="8" t="n">
        <v>0.046563</v>
      </c>
      <c r="B59" s="8" t="n">
        <v>0.034479</v>
      </c>
      <c r="C59" s="8" t="n">
        <f aca="false">$G$1</f>
        <v>0</v>
      </c>
      <c r="D59" s="8" t="n">
        <f aca="false">(( -A59 ) * SIN(RADIANS($F$1)) + (B59 - 0) * COS(RADIANS($F$1))) * $E$1 + ($G$1 * TAN(RADIANS($I$1))) + $L$1</f>
        <v>31.1341136694517</v>
      </c>
      <c r="E59" s="8" t="n">
        <f aca="false">(( -A59 ) * COS(RADIANS($F$1)) - (B59 - 0) * SIN(RADIANS($F$1))) * $E$1 - ($G$1 * TAN(RADIANS($H$1))) - $J$1</f>
        <v>-857.444821229149</v>
      </c>
    </row>
    <row r="60" customFormat="false" ht="15" hidden="false" customHeight="true" outlineLevel="0" collapsed="false">
      <c r="A60" s="8" t="n">
        <v>0.036913</v>
      </c>
      <c r="B60" s="8" t="n">
        <v>0.031156</v>
      </c>
      <c r="C60" s="8" t="n">
        <f aca="false">$G$1</f>
        <v>0</v>
      </c>
      <c r="D60" s="8" t="n">
        <f aca="false">(( -A60 ) * SIN(RADIANS($F$1)) + (B60 - 0) * COS(RADIANS($F$1))) * $E$1 + ($G$1 * TAN(RADIANS($I$1))) + $L$1</f>
        <v>30.5122951731016</v>
      </c>
      <c r="E60" s="8" t="n">
        <f aca="false">(( -A60 ) * COS(RADIANS($F$1)) - (B60 - 0) * SIN(RADIANS($F$1))) * $E$1 - ($G$1 * TAN(RADIANS($H$1))) - $J$1</f>
        <v>-855.825035652319</v>
      </c>
    </row>
    <row r="61" customFormat="false" ht="15" hidden="false" customHeight="true" outlineLevel="0" collapsed="false">
      <c r="A61" s="8" t="n">
        <v>0.028344</v>
      </c>
      <c r="B61" s="8" t="n">
        <v>0.027683</v>
      </c>
      <c r="C61" s="8" t="n">
        <f aca="false">$G$1</f>
        <v>0</v>
      </c>
      <c r="D61" s="8" t="n">
        <f aca="false">(( -A61 ) * SIN(RADIANS($F$1)) + (B61 - 0) * COS(RADIANS($F$1))) * $E$1 + ($G$1 * TAN(RADIANS($I$1))) + $L$1</f>
        <v>29.871405691174</v>
      </c>
      <c r="E61" s="8" t="n">
        <f aca="false">(( -A61 ) * COS(RADIANS($F$1)) - (B61 - 0) * SIN(RADIANS($F$1))) * $E$1 - ($G$1 * TAN(RADIANS($H$1))) - $J$1</f>
        <v>-854.389798064912</v>
      </c>
    </row>
    <row r="62" customFormat="false" ht="15" hidden="false" customHeight="true" outlineLevel="0" collapsed="false">
      <c r="A62" s="8" t="n">
        <v>0.020877</v>
      </c>
      <c r="B62" s="8" t="n">
        <v>0.024071</v>
      </c>
      <c r="C62" s="8" t="n">
        <f aca="false">$G$1</f>
        <v>0</v>
      </c>
      <c r="D62" s="8" t="n">
        <f aca="false">(( -A62 ) * SIN(RADIANS($F$1)) + (B62 - 0) * COS(RADIANS($F$1))) * $E$1 + ($G$1 * TAN(RADIANS($I$1))) + $L$1</f>
        <v>29.2134386757184</v>
      </c>
      <c r="E62" s="8" t="n">
        <f aca="false">(( -A62 ) * COS(RADIANS($F$1)) - (B62 - 0) * SIN(RADIANS($F$1))) * $E$1 - ($G$1 * TAN(RADIANS($H$1))) - $J$1</f>
        <v>-853.142611030122</v>
      </c>
    </row>
    <row r="63" customFormat="false" ht="15" hidden="false" customHeight="true" outlineLevel="0" collapsed="false">
      <c r="A63" s="8" t="n">
        <v>0.014529</v>
      </c>
      <c r="B63" s="8" t="n">
        <v>0.02033</v>
      </c>
      <c r="C63" s="8" t="n">
        <f aca="false">$G$1</f>
        <v>0</v>
      </c>
      <c r="D63" s="8" t="n">
        <f aca="false">(( -A63 ) * SIN(RADIANS($F$1)) + (B63 - 0) * COS(RADIANS($F$1))) * $E$1 + ($G$1 * TAN(RADIANS($I$1))) + $L$1</f>
        <v>28.5401939506861</v>
      </c>
      <c r="E63" s="8" t="n">
        <f aca="false">(( -A63 ) * COS(RADIANS($F$1)) - (B63 - 0) * SIN(RADIANS($F$1))) * $E$1 - ($G$1 * TAN(RADIANS($H$1))) - $J$1</f>
        <v>-852.086303458292</v>
      </c>
    </row>
    <row r="64" customFormat="false" ht="15" hidden="false" customHeight="true" outlineLevel="0" collapsed="false">
      <c r="A64" s="8" t="n">
        <v>0.009315</v>
      </c>
      <c r="B64" s="8" t="n">
        <v>0.016471</v>
      </c>
      <c r="C64" s="8" t="n">
        <f aca="false">$G$1</f>
        <v>0</v>
      </c>
      <c r="D64" s="8" t="n">
        <f aca="false">(( -A64 ) * SIN(RADIANS($F$1)) + (B64 - 0) * COS(RADIANS($F$1))) * $E$1 + ($G$1 * TAN(RADIANS($I$1))) + $L$1</f>
        <v>27.8536293706397</v>
      </c>
      <c r="E64" s="8" t="n">
        <f aca="false">(( -A64 ) * COS(RADIANS($F$1)) - (B64 - 0) * SIN(RADIANS($F$1))) * $E$1 - ($G$1 * TAN(RADIANS($H$1))) - $J$1</f>
        <v>-851.223358533974</v>
      </c>
    </row>
    <row r="65" customFormat="false" ht="15" hidden="false" customHeight="true" outlineLevel="0" collapsed="false">
      <c r="A65" s="8" t="n">
        <v>0.005247</v>
      </c>
      <c r="B65" s="8" t="n">
        <v>0.012501</v>
      </c>
      <c r="C65" s="8" t="n">
        <f aca="false">$G$1</f>
        <v>0</v>
      </c>
      <c r="D65" s="8" t="n">
        <f aca="false">(( -A65 ) * SIN(RADIANS($F$1)) + (B65 - 0) * COS(RADIANS($F$1))) * $E$1 + ($G$1 * TAN(RADIANS($I$1))) + $L$1</f>
        <v>27.1550054056367</v>
      </c>
      <c r="E65" s="8" t="n">
        <f aca="false">(( -A65 ) * COS(RADIANS($F$1)) - (B65 - 0) * SIN(RADIANS($F$1))) * $E$1 - ($G$1 * TAN(RADIANS($H$1))) - $J$1</f>
        <v>-850.555773484053</v>
      </c>
    </row>
    <row r="66" customFormat="false" ht="15" hidden="false" customHeight="true" outlineLevel="0" collapsed="false">
      <c r="A66" s="8" t="n">
        <v>0.002334</v>
      </c>
      <c r="B66" s="8" t="n">
        <v>0.008429</v>
      </c>
      <c r="C66" s="8" t="n">
        <f aca="false">$G$1</f>
        <v>0</v>
      </c>
      <c r="D66" s="8" t="n">
        <f aca="false">(( -A66 ) * SIN(RADIANS($F$1)) + (B66 - 0) * COS(RADIANS($F$1))) * $E$1 + ($G$1 * TAN(RADIANS($I$1))) + $L$1</f>
        <v>26.4459045198722</v>
      </c>
      <c r="E66" s="8" t="n">
        <f aca="false">(( -A66 ) * COS(RADIANS($F$1)) - (B66 - 0) * SIN(RADIANS($F$1))) * $E$1 - ($G$1 * TAN(RADIANS($H$1))) - $J$1</f>
        <v>-850.085023980264</v>
      </c>
    </row>
    <row r="67" customFormat="false" ht="15" hidden="false" customHeight="true" outlineLevel="0" collapsed="false">
      <c r="A67" s="8" t="n">
        <v>0.000584</v>
      </c>
      <c r="B67" s="8" t="n">
        <v>0.00426</v>
      </c>
      <c r="C67" s="8" t="n">
        <f aca="false">$G$1</f>
        <v>0</v>
      </c>
      <c r="D67" s="8" t="n">
        <f aca="false">(( -A67 ) * SIN(RADIANS($F$1)) + (B67 - 0) * COS(RADIANS($F$1))) * $E$1 + ($G$1 * TAN(RADIANS($I$1))) + $L$1</f>
        <v>25.7272236588643</v>
      </c>
      <c r="E67" s="8" t="n">
        <f aca="false">(( -A67 ) * COS(RADIANS($F$1)) - (B67 - 0) * SIN(RADIANS($F$1))) * $E$1 - ($G$1 * TAN(RADIANS($H$1))) - $J$1</f>
        <v>-849.81243952956</v>
      </c>
    </row>
    <row r="68" customFormat="false" ht="15" hidden="false" customHeight="true" outlineLevel="0" collapsed="false">
      <c r="A68" s="8" t="n">
        <v>0</v>
      </c>
      <c r="B68" s="8" t="n">
        <v>0</v>
      </c>
      <c r="C68" s="8" t="n">
        <f aca="false">$G$1</f>
        <v>0</v>
      </c>
      <c r="D68" s="8" t="n">
        <f aca="false">(( -A68 ) * SIN(RADIANS($F$1)) + (B68 - 0) * COS(RADIANS($F$1))) * $E$1 + ($G$1 * TAN(RADIANS($I$1))) + $L$1</f>
        <v>25</v>
      </c>
      <c r="E68" s="8" t="n">
        <f aca="false">(( -A68 ) * COS(RADIANS($F$1)) - (B68 - 0) * SIN(RADIANS($F$1))) * $E$1 - ($G$1 * TAN(RADIANS($H$1))) - $J$1</f>
        <v>-849.738494223775</v>
      </c>
    </row>
    <row r="69" customFormat="false" ht="15" hidden="false" customHeight="true" outlineLevel="0" collapsed="false">
      <c r="A69" s="8" t="n">
        <v>0.000584</v>
      </c>
      <c r="B69" s="8" t="n">
        <v>-0.00426</v>
      </c>
      <c r="C69" s="8" t="n">
        <f aca="false">$G$1</f>
        <v>0</v>
      </c>
      <c r="D69" s="8" t="n">
        <f aca="false">(( -A69 ) * SIN(RADIANS($F$1)) + (B69 - 0) * COS(RADIANS($F$1))) * $E$1 + ($G$1 * TAN(RADIANS($I$1))) + $L$1</f>
        <v>24.2797059852</v>
      </c>
      <c r="E69" s="8" t="n">
        <f aca="false">(( -A69 ) * COS(RADIANS($F$1)) - (B69 - 0) * SIN(RADIANS($F$1))) * $E$1 - ($G$1 * TAN(RADIANS($H$1))) - $J$1</f>
        <v>-849.862987960577</v>
      </c>
    </row>
    <row r="70" customFormat="false" ht="15" hidden="false" customHeight="true" outlineLevel="0" collapsed="false">
      <c r="A70" s="8" t="n">
        <v>0.002334</v>
      </c>
      <c r="B70" s="8" t="n">
        <v>-0.008429</v>
      </c>
      <c r="C70" s="8" t="n">
        <f aca="false">$G$1</f>
        <v>0</v>
      </c>
      <c r="D70" s="8" t="n">
        <f aca="false">(( -A70 ) * SIN(RADIANS($F$1)) + (B70 - 0) * COS(RADIANS($F$1))) * $E$1 + ($G$1 * TAN(RADIANS($I$1))) + $L$1</f>
        <v>23.5817903247274</v>
      </c>
      <c r="E70" s="8" t="n">
        <f aca="false">(( -A70 ) * COS(RADIANS($F$1)) - (B70 - 0) * SIN(RADIANS($F$1))) * $E$1 - ($G$1 * TAN(RADIANS($H$1))) - $J$1</f>
        <v>-850.185041051871</v>
      </c>
    </row>
    <row r="71" customFormat="false" ht="15" hidden="false" customHeight="true" outlineLevel="0" collapsed="false">
      <c r="A71" s="8" t="n">
        <v>0.005247</v>
      </c>
      <c r="B71" s="8" t="n">
        <v>-0.012501</v>
      </c>
      <c r="C71" s="8" t="n">
        <f aca="false">$G$1</f>
        <v>0</v>
      </c>
      <c r="D71" s="8" t="n">
        <f aca="false">(( -A71 ) * SIN(RADIANS($F$1)) + (B71 - 0) * COS(RADIANS($F$1))) * $E$1 + ($G$1 * TAN(RADIANS($I$1))) + $L$1</f>
        <v>22.9072545984824</v>
      </c>
      <c r="E71" s="8" t="n">
        <f aca="false">(( -A71 ) * COS(RADIANS($F$1)) - (B71 - 0) * SIN(RADIANS($F$1))) * $E$1 - ($G$1 * TAN(RADIANS($H$1))) - $J$1</f>
        <v>-850.704108210848</v>
      </c>
    </row>
    <row r="72" customFormat="false" ht="15" hidden="false" customHeight="true" outlineLevel="0" collapsed="false">
      <c r="A72" s="8" t="n">
        <v>0.009315</v>
      </c>
      <c r="B72" s="8" t="n">
        <v>-0.016471</v>
      </c>
      <c r="C72" s="8" t="n">
        <f aca="false">$G$1</f>
        <v>0</v>
      </c>
      <c r="D72" s="8" t="n">
        <f aca="false">(( -A72 ) * SIN(RADIANS($F$1)) + (B72 - 0) * COS(RADIANS($F$1))) * $E$1 + ($G$1 * TAN(RADIANS($I$1))) + $L$1</f>
        <v>22.2569008253522</v>
      </c>
      <c r="E72" s="8" t="n">
        <f aca="false">(( -A72 ) * COS(RADIANS($F$1)) - (B72 - 0) * SIN(RADIANS($F$1))) * $E$1 - ($G$1 * TAN(RADIANS($H$1))) - $J$1</f>
        <v>-851.418800601412</v>
      </c>
    </row>
    <row r="73" customFormat="false" ht="15" hidden="false" customHeight="true" outlineLevel="0" collapsed="false">
      <c r="A73" s="8" t="n">
        <v>0.014529</v>
      </c>
      <c r="B73" s="8" t="n">
        <v>-0.02033</v>
      </c>
      <c r="C73" s="8" t="n">
        <f aca="false">$G$1</f>
        <v>0</v>
      </c>
      <c r="D73" s="8" t="n">
        <f aca="false">(( -A73 ) * SIN(RADIANS($F$1)) + (B73 - 0) * COS(RADIANS($F$1))) * $E$1 + ($G$1 * TAN(RADIANS($I$1))) + $L$1</f>
        <v>21.6322046770721</v>
      </c>
      <c r="E73" s="8" t="n">
        <f aca="false">(( -A73 ) * COS(RADIANS($F$1)) - (B73 - 0) * SIN(RADIANS($F$1))) * $E$1 - ($G$1 * TAN(RADIANS($H$1))) - $J$1</f>
        <v>-852.327535759368</v>
      </c>
    </row>
    <row r="74" customFormat="false" ht="15" hidden="false" customHeight="true" outlineLevel="0" collapsed="false">
      <c r="A74" s="8" t="n">
        <v>0.020877</v>
      </c>
      <c r="B74" s="8" t="n">
        <v>-0.024071</v>
      </c>
      <c r="C74" s="8" t="n">
        <f aca="false">$G$1</f>
        <v>0</v>
      </c>
      <c r="D74" s="8" t="n">
        <f aca="false">(( -A74 ) * SIN(RADIANS($F$1)) + (B74 - 0) * COS(RADIANS($F$1))) * $E$1 + ($G$1 * TAN(RADIANS($I$1))) + $L$1</f>
        <v>21.0342842337528</v>
      </c>
      <c r="E74" s="8" t="n">
        <f aca="false">(( -A74 ) * COS(RADIANS($F$1)) - (B74 - 0) * SIN(RADIANS($F$1))) * $E$1 - ($G$1 * TAN(RADIANS($H$1))) - $J$1</f>
        <v>-853.428233397027</v>
      </c>
    </row>
    <row r="75" customFormat="false" ht="15" hidden="false" customHeight="true" outlineLevel="0" collapsed="false">
      <c r="A75" s="8" t="n">
        <v>0.028344</v>
      </c>
      <c r="B75" s="8" t="n">
        <v>-0.027683</v>
      </c>
      <c r="C75" s="8" t="n">
        <f aca="false">$G$1</f>
        <v>0</v>
      </c>
      <c r="D75" s="8" t="n">
        <f aca="false">(( -A75 ) * SIN(RADIANS($F$1)) + (B75 - 0) * COS(RADIANS($F$1))) * $E$1 + ($G$1 * TAN(RADIANS($I$1))) + $L$1</f>
        <v>20.464919362524</v>
      </c>
      <c r="E75" s="8" t="n">
        <f aca="false">(( -A75 ) * COS(RADIANS($F$1)) - (B75 - 0) * SIN(RADIANS($F$1))) * $E$1 - ($G$1 * TAN(RADIANS($H$1))) - $J$1</f>
        <v>-854.718279805722</v>
      </c>
    </row>
    <row r="76" customFormat="false" ht="15" hidden="false" customHeight="true" outlineLevel="0" collapsed="false">
      <c r="A76" s="8" t="n">
        <v>0.036913</v>
      </c>
      <c r="B76" s="8" t="n">
        <v>-0.031156</v>
      </c>
      <c r="C76" s="8" t="n">
        <f aca="false">$G$1</f>
        <v>0</v>
      </c>
      <c r="D76" s="8" t="n">
        <f aca="false">(( -A76 ) * SIN(RADIANS($F$1)) + (B76 - 0) * COS(RADIANS($F$1))) * $E$1 + ($G$1 * TAN(RADIANS($I$1))) + $L$1</f>
        <v>19.9257081682459</v>
      </c>
      <c r="E76" s="8" t="n">
        <f aca="false">(( -A76 ) * COS(RADIANS($F$1)) - (B76 - 0) * SIN(RADIANS($F$1))) * $E$1 - ($G$1 * TAN(RADIANS($H$1))) - $J$1</f>
        <v>-856.19472741682</v>
      </c>
    </row>
    <row r="77" customFormat="false" ht="15" hidden="false" customHeight="true" outlineLevel="0" collapsed="false">
      <c r="A77" s="8" t="n">
        <v>0.046563</v>
      </c>
      <c r="B77" s="8" t="n">
        <v>-0.034479</v>
      </c>
      <c r="C77" s="8" t="n">
        <f aca="false">$G$1</f>
        <v>0</v>
      </c>
      <c r="D77" s="8" t="n">
        <f aca="false">(( -A77 ) * SIN(RADIANS($F$1)) + (B77 - 0) * COS(RADIANS($F$1))) * $E$1 + ($G$1 * TAN(RADIANS($I$1))) + $L$1</f>
        <v>19.4183949205616</v>
      </c>
      <c r="E77" s="8" t="n">
        <f aca="false">(( -A77 ) * COS(RADIANS($F$1)) - (B77 - 0) * SIN(RADIANS($F$1))) * $E$1 - ($G$1 * TAN(RADIANS($H$1))) - $J$1</f>
        <v>-857.853943143009</v>
      </c>
    </row>
    <row r="78" customFormat="false" ht="15" hidden="false" customHeight="true" outlineLevel="0" collapsed="false">
      <c r="A78" s="8" t="n">
        <v>0.057272</v>
      </c>
      <c r="B78" s="8" t="n">
        <v>-0.037641</v>
      </c>
      <c r="C78" s="8" t="n">
        <f aca="false">$G$1</f>
        <v>0</v>
      </c>
      <c r="D78" s="8" t="n">
        <f aca="false">(( -A78 ) * SIN(RADIANS($F$1)) + (B78 - 0) * COS(RADIANS($F$1))) * $E$1 + ($G$1 * TAN(RADIANS($I$1))) + $L$1</f>
        <v>18.9447179561998</v>
      </c>
      <c r="E78" s="8" t="n">
        <f aca="false">(( -A78 ) * COS(RADIANS($F$1)) - (B78 - 0) * SIN(RADIANS($F$1))) * $E$1 - ($G$1 * TAN(RADIANS($H$1))) - $J$1</f>
        <v>-859.692124000538</v>
      </c>
    </row>
    <row r="79" customFormat="false" ht="15" hidden="false" customHeight="true" outlineLevel="0" collapsed="false">
      <c r="A79" s="8" t="n">
        <v>0.069015</v>
      </c>
      <c r="B79" s="8" t="n">
        <v>-0.040631</v>
      </c>
      <c r="C79" s="8" t="n">
        <f aca="false">$G$1</f>
        <v>0</v>
      </c>
      <c r="D79" s="8" t="n">
        <f aca="false">(( -A79 ) * SIN(RADIANS($F$1)) + (B79 - 0) * COS(RADIANS($F$1))) * $E$1 + ($G$1 * TAN(RADIANS($I$1))) + $L$1</f>
        <v>18.5063978131458</v>
      </c>
      <c r="E79" s="8" t="n">
        <f aca="false">(( -A79 ) * COS(RADIANS($F$1)) - (B79 - 0) * SIN(RADIANS($F$1))) * $E$1 - ($G$1 * TAN(RADIANS($H$1))) - $J$1</f>
        <v>-861.704957316334</v>
      </c>
    </row>
    <row r="80" customFormat="false" ht="15" hidden="false" customHeight="true" outlineLevel="0" collapsed="false">
      <c r="A80" s="8" t="n">
        <v>0.081765</v>
      </c>
      <c r="B80" s="8" t="n">
        <v>-0.043437</v>
      </c>
      <c r="C80" s="8" t="n">
        <f aca="false">$G$1</f>
        <v>0</v>
      </c>
      <c r="D80" s="8" t="n">
        <f aca="false">(( -A80 ) * SIN(RADIANS($F$1)) + (B80 - 0) * COS(RADIANS($F$1))) * $E$1 + ($G$1 * TAN(RADIANS($I$1))) + $L$1</f>
        <v>18.1053130599965</v>
      </c>
      <c r="E80" s="8" t="n">
        <f aca="false">(( -A80 ) * COS(RADIANS($F$1)) - (B80 - 0) * SIN(RADIANS($F$1))) * $E$1 - ($G$1 * TAN(RADIANS($H$1))) - $J$1</f>
        <v>-863.887784691528</v>
      </c>
    </row>
    <row r="81" customFormat="false" ht="15" hidden="false" customHeight="true" outlineLevel="0" collapsed="false">
      <c r="A81" s="8" t="n">
        <v>0.095492</v>
      </c>
      <c r="B81" s="8" t="n">
        <v>-0.046049</v>
      </c>
      <c r="C81" s="8" t="n">
        <f aca="false">$G$1</f>
        <v>0</v>
      </c>
      <c r="D81" s="8" t="n">
        <f aca="false">(( -A81 ) * SIN(RADIANS($F$1)) + (B81 - 0) * COS(RADIANS($F$1))) * $E$1 + ($G$1 * TAN(RADIANS($I$1))) + $L$1</f>
        <v>17.7429846737245</v>
      </c>
      <c r="E81" s="8" t="n">
        <f aca="false">(( -A81 ) * COS(RADIANS($F$1)) - (B81 - 0) * SIN(RADIANS($F$1))) * $E$1 - ($G$1 * TAN(RADIANS($H$1))) - $J$1</f>
        <v>-866.235449903759</v>
      </c>
    </row>
    <row r="82" customFormat="false" ht="15" hidden="false" customHeight="true" outlineLevel="0" collapsed="false">
      <c r="A82" s="8" t="n">
        <v>0.110163</v>
      </c>
      <c r="B82" s="8" t="n">
        <v>-0.048457</v>
      </c>
      <c r="C82" s="8" t="n">
        <f aca="false">$G$1</f>
        <v>0</v>
      </c>
      <c r="D82" s="8" t="n">
        <f aca="false">(( -A82 ) * SIN(RADIANS($F$1)) + (B82 - 0) * COS(RADIANS($F$1))) * $E$1 + ($G$1 * TAN(RADIANS($I$1))) + $L$1</f>
        <v>17.4209158325591</v>
      </c>
      <c r="E82" s="8" t="n">
        <f aca="false">(( -A82 ) * COS(RADIANS($F$1)) - (B82 - 0) * SIN(RADIANS($F$1))) * $E$1 - ($G$1 * TAN(RADIANS($H$1))) - $J$1</f>
        <v>-868.742287041344</v>
      </c>
    </row>
    <row r="83" customFormat="false" ht="15" hidden="false" customHeight="true" outlineLevel="0" collapsed="false">
      <c r="A83" s="8" t="n">
        <v>0.125745</v>
      </c>
      <c r="B83" s="8" t="n">
        <v>-0.050651</v>
      </c>
      <c r="C83" s="8" t="n">
        <f aca="false">$G$1</f>
        <v>0</v>
      </c>
      <c r="D83" s="8" t="n">
        <f aca="false">(( -A83 ) * SIN(RADIANS($F$1)) + (B83 - 0) * COS(RADIANS($F$1))) * $E$1 + ($G$1 * TAN(RADIANS($I$1))) + $L$1</f>
        <v>17.1406097147294</v>
      </c>
      <c r="E83" s="8" t="n">
        <f aca="false">(( -A83 ) * COS(RADIANS($F$1)) - (B83 - 0) * SIN(RADIANS($F$1))) * $E$1 - ($G$1 * TAN(RADIANS($H$1))) - $J$1</f>
        <v>-871.402630192598</v>
      </c>
    </row>
    <row r="84" customFormat="false" ht="15" hidden="false" customHeight="true" outlineLevel="0" collapsed="false">
      <c r="A84" s="8" t="n">
        <v>0.142201</v>
      </c>
      <c r="B84" s="8" t="n">
        <v>-0.052625</v>
      </c>
      <c r="C84" s="8" t="n">
        <f aca="false">$G$1</f>
        <v>0</v>
      </c>
      <c r="D84" s="8" t="n">
        <f aca="false">(( -A84 ) * SIN(RADIANS($F$1)) + (B84 - 0) * COS(RADIANS($F$1))) * $E$1 + ($G$1 * TAN(RADIANS($I$1))) + $L$1</f>
        <v>16.9028661810448</v>
      </c>
      <c r="E84" s="8" t="n">
        <f aca="false">(( -A84 ) * COS(RADIANS($F$1)) - (B84 - 0) * SIN(RADIANS($F$1))) * $E$1 - ($G$1 * TAN(RADIANS($H$1))) - $J$1</f>
        <v>-874.210157591735</v>
      </c>
    </row>
    <row r="85" customFormat="false" ht="15" hidden="false" customHeight="true" outlineLevel="0" collapsed="false">
      <c r="A85" s="8" t="n">
        <v>0.159492</v>
      </c>
      <c r="B85" s="8" t="n">
        <v>-0.054372</v>
      </c>
      <c r="C85" s="8" t="n">
        <f aca="false">$G$1</f>
        <v>0</v>
      </c>
      <c r="D85" s="8" t="n">
        <f aca="false">(( -A85 ) * SIN(RADIANS($F$1)) + (B85 - 0) * COS(RADIANS($F$1))) * $E$1 + ($G$1 * TAN(RADIANS($I$1))) + $L$1</f>
        <v>16.708643122926</v>
      </c>
      <c r="E85" s="8" t="n">
        <f aca="false">(( -A85 ) * COS(RADIANS($F$1)) - (B85 - 0) * SIN(RADIANS($F$1))) * $E$1 - ($G$1 * TAN(RADIANS($H$1))) - $J$1</f>
        <v>-877.158201747172</v>
      </c>
    </row>
    <row r="86" customFormat="false" ht="15" hidden="false" customHeight="true" outlineLevel="0" collapsed="false">
      <c r="A86" s="8" t="n">
        <v>0.177579</v>
      </c>
      <c r="B86" s="8" t="n">
        <v>-0.055886</v>
      </c>
      <c r="C86" s="8" t="n">
        <f aca="false">$G$1</f>
        <v>0</v>
      </c>
      <c r="D86" s="8" t="n">
        <f aca="false">(( -A86 ) * SIN(RADIANS($F$1)) + (B86 - 0) * COS(RADIANS($F$1))) * $E$1 + ($G$1 * TAN(RADIANS($I$1))) + $L$1</f>
        <v>16.5587285353534</v>
      </c>
      <c r="E86" s="8" t="n">
        <f aca="false">(( -A86 ) * COS(RADIANS($F$1)) - (B86 - 0) * SIN(RADIANS($F$1))) * $E$1 - ($G$1 * TAN(RADIANS($H$1))) - $J$1</f>
        <v>-880.240101100238</v>
      </c>
    </row>
    <row r="87" customFormat="false" ht="15" hidden="false" customHeight="true" outlineLevel="0" collapsed="false">
      <c r="A87" s="8" t="n">
        <v>0.196419</v>
      </c>
      <c r="B87" s="8" t="n">
        <v>-0.057164</v>
      </c>
      <c r="C87" s="8" t="n">
        <f aca="false">$G$1</f>
        <v>0</v>
      </c>
      <c r="D87" s="8" t="n">
        <f aca="false">(( -A87 ) * SIN(RADIANS($F$1)) + (B87 - 0) * COS(RADIANS($F$1))) * $E$1 + ($G$1 * TAN(RADIANS($I$1))) + $L$1</f>
        <v>16.4533769923278</v>
      </c>
      <c r="E87" s="8" t="n">
        <f aca="false">(( -A87 ) * COS(RADIANS($F$1)) - (B87 - 0) * SIN(RADIANS($F$1))) * $E$1 - ($G$1 * TAN(RADIANS($H$1))) - $J$1</f>
        <v>-883.448532305247</v>
      </c>
    </row>
    <row r="88" customFormat="false" ht="15" hidden="false" customHeight="true" outlineLevel="0" collapsed="false">
      <c r="A88" s="8" t="n">
        <v>0.215968</v>
      </c>
      <c r="B88" s="8" t="n">
        <v>-0.058205</v>
      </c>
      <c r="C88" s="8" t="n">
        <f aca="false">$G$1</f>
        <v>0</v>
      </c>
      <c r="D88" s="8" t="n">
        <f aca="false">(( -A88 ) * SIN(RADIANS($F$1)) + (B88 - 0) * COS(RADIANS($F$1))) * $E$1 + ($G$1 * TAN(RADIANS($I$1))) + $L$1</f>
        <v>16.3924973420546</v>
      </c>
      <c r="E88" s="8" t="n">
        <f aca="false">(( -A88 ) * COS(RADIANS($F$1)) - (B88 - 0) * SIN(RADIANS($F$1))) * $E$1 - ($G$1 * TAN(RADIANS($H$1))) - $J$1</f>
        <v>-886.776013985899</v>
      </c>
    </row>
    <row r="89" customFormat="false" ht="15" hidden="false" customHeight="true" outlineLevel="0" collapsed="false">
      <c r="A89" s="8" t="n">
        <v>0.23618</v>
      </c>
      <c r="B89" s="8" t="n">
        <v>-0.059008</v>
      </c>
      <c r="C89" s="8" t="n">
        <f aca="false">$G$1</f>
        <v>0</v>
      </c>
      <c r="D89" s="8" t="n">
        <f aca="false">(( -A89 ) * SIN(RADIANS($F$1)) + (B89 - 0) * COS(RADIANS($F$1))) * $E$1 + ($G$1 * TAN(RADIANS($I$1))) + $L$1</f>
        <v>16.3759865669101</v>
      </c>
      <c r="E89" s="8" t="n">
        <f aca="false">(( -A89 ) * COS(RADIANS($F$1)) - (B89 - 0) * SIN(RADIANS($F$1))) * $E$1 - ($G$1 * TAN(RADIANS($H$1))) - $J$1</f>
        <v>-890.214724973012</v>
      </c>
    </row>
    <row r="90" customFormat="false" ht="15" hidden="false" customHeight="true" outlineLevel="0" collapsed="false">
      <c r="A90" s="8" t="n">
        <v>0.257008</v>
      </c>
      <c r="B90" s="8" t="n">
        <v>-0.059576</v>
      </c>
      <c r="C90" s="8" t="n">
        <f aca="false">$G$1</f>
        <v>0</v>
      </c>
      <c r="D90" s="8" t="n">
        <f aca="false">(( -A90 ) * SIN(RADIANS($F$1)) + (B90 - 0) * COS(RADIANS($F$1))) * $E$1 + ($G$1 * TAN(RADIANS($I$1))) + $L$1</f>
        <v>16.4030561305939</v>
      </c>
      <c r="E90" s="8" t="n">
        <f aca="false">(( -A90 ) * COS(RADIANS($F$1)) - (B90 - 0) * SIN(RADIANS($F$1))) * $E$1 - ($G$1 * TAN(RADIANS($H$1))) - $J$1</f>
        <v>-893.756697932625</v>
      </c>
    </row>
    <row r="91" customFormat="false" ht="15" hidden="false" customHeight="true" outlineLevel="0" collapsed="false">
      <c r="A91" s="8" t="n">
        <v>0.278404</v>
      </c>
      <c r="B91" s="8" t="n">
        <v>-0.05991</v>
      </c>
      <c r="C91" s="8" t="n">
        <f aca="false">$G$1</f>
        <v>0</v>
      </c>
      <c r="D91" s="8" t="n">
        <f aca="false">(( -A91 ) * SIN(RADIANS($F$1)) + (B91 - 0) * COS(RADIANS($F$1))) * $E$1 + ($G$1 * TAN(RADIANS($I$1))) + $L$1</f>
        <v>16.4732513567725</v>
      </c>
      <c r="E91" s="8" t="n">
        <f aca="false">(( -A91 ) * COS(RADIANS($F$1)) - (B91 - 0) * SIN(RADIANS($F$1))) * $E$1 - ($G$1 * TAN(RADIANS($H$1))) - $J$1</f>
        <v>-897.393783768503</v>
      </c>
    </row>
    <row r="92" customFormat="false" ht="15" hidden="false" customHeight="true" outlineLevel="0" collapsed="false">
      <c r="A92" s="8" t="n">
        <v>0.300318</v>
      </c>
      <c r="B92" s="8" t="n">
        <v>-0.060017</v>
      </c>
      <c r="C92" s="8" t="n">
        <f aca="false">$G$1</f>
        <v>0</v>
      </c>
      <c r="D92" s="8" t="n">
        <f aca="false">(( -A92 ) * SIN(RADIANS($F$1)) + (B92 - 0) * COS(RADIANS($F$1))) * $E$1 + ($G$1 * TAN(RADIANS($I$1))) + $L$1</f>
        <v>16.5850863246398</v>
      </c>
      <c r="E92" s="8" t="n">
        <f aca="false">(( -A92 ) * COS(RADIANS($F$1)) - (B92 - 0) * SIN(RADIANS($F$1))) * $E$1 - ($G$1 * TAN(RADIANS($H$1))) - $J$1</f>
        <v>-901.117529189019</v>
      </c>
    </row>
    <row r="93" customFormat="false" ht="15" hidden="false" customHeight="true" outlineLevel="0" collapsed="false">
      <c r="A93" s="8" t="n">
        <v>0.322698</v>
      </c>
      <c r="B93" s="8" t="n">
        <v>-0.059903</v>
      </c>
      <c r="C93" s="8" t="n">
        <f aca="false">$G$1</f>
        <v>0</v>
      </c>
      <c r="D93" s="8" t="n">
        <f aca="false">(( -A93 ) * SIN(RADIANS($F$1)) + (B93 - 0) * COS(RADIANS($F$1))) * $E$1 + ($G$1 * TAN(RADIANS($I$1))) + $L$1</f>
        <v>16.7372331440018</v>
      </c>
      <c r="E93" s="8" t="n">
        <f aca="false">(( -A93 ) * COS(RADIANS($F$1)) - (B93 - 0) * SIN(RADIANS($F$1))) * $E$1 - ($G$1 * TAN(RADIANS($H$1))) - $J$1</f>
        <v>-904.919135176751</v>
      </c>
    </row>
    <row r="94" customFormat="false" ht="15" hidden="false" customHeight="true" outlineLevel="0" collapsed="false">
      <c r="A94" s="8" t="n">
        <v>0.345492</v>
      </c>
      <c r="B94" s="8" t="n">
        <v>-0.059575</v>
      </c>
      <c r="C94" s="8" t="n">
        <f aca="false">$G$1</f>
        <v>0</v>
      </c>
      <c r="D94" s="8" t="n">
        <f aca="false">(( -A94 ) * SIN(RADIANS($F$1)) + (B94 - 0) * COS(RADIANS($F$1))) * $E$1 + ($G$1 * TAN(RADIANS($I$1))) + $L$1</f>
        <v>16.9281940282236</v>
      </c>
      <c r="E94" s="8" t="n">
        <f aca="false">(( -A94 ) * COS(RADIANS($F$1)) - (B94 - 0) * SIN(RADIANS($F$1))) * $E$1 - ($G$1 * TAN(RADIANS($H$1))) - $J$1</f>
        <v>-908.789808647188</v>
      </c>
    </row>
    <row r="95" customFormat="false" ht="15" hidden="false" customHeight="true" outlineLevel="0" collapsed="false">
      <c r="A95" s="8" t="n">
        <v>0.368646</v>
      </c>
      <c r="B95" s="8" t="n">
        <v>-0.059042</v>
      </c>
      <c r="C95" s="8" t="n">
        <f aca="false">$G$1</f>
        <v>0</v>
      </c>
      <c r="D95" s="8" t="n">
        <f aca="false">(( -A95 ) * SIN(RADIANS($F$1)) + (B95 - 0) * COS(RADIANS($F$1))) * $E$1 + ($G$1 * TAN(RADIANS($I$1))) + $L$1</f>
        <v>17.1561195319603</v>
      </c>
      <c r="E95" s="8" t="n">
        <f aca="false">(( -A95 ) * COS(RADIANS($F$1)) - (B95 - 0) * SIN(RADIANS($F$1))) * $E$1 - ($G$1 * TAN(RADIANS($H$1))) - $J$1</f>
        <v>-912.720428588772</v>
      </c>
    </row>
    <row r="96" customFormat="false" ht="15" hidden="false" customHeight="true" outlineLevel="0" collapsed="false">
      <c r="A96" s="8" t="n">
        <v>0.392108</v>
      </c>
      <c r="B96" s="8" t="n">
        <v>-0.058314</v>
      </c>
      <c r="C96" s="8" t="n">
        <f aca="false">$G$1</f>
        <v>0</v>
      </c>
      <c r="D96" s="8" t="n">
        <f aca="false">(( -A96 ) * SIN(RADIANS($F$1)) + (B96 - 0) * COS(RADIANS($F$1))) * $E$1 + ($G$1 * TAN(RADIANS($I$1))) + $L$1</f>
        <v>17.4190021792554</v>
      </c>
      <c r="E96" s="8" t="n">
        <f aca="false">(( -A96 ) * COS(RADIANS($F$1)) - (B96 - 0) * SIN(RADIANS($F$1))) * $E$1 - ($G$1 * TAN(RADIANS($H$1))) - $J$1</f>
        <v>-916.702219715736</v>
      </c>
    </row>
    <row r="97" customFormat="false" ht="15" hidden="false" customHeight="true" outlineLevel="0" collapsed="false">
      <c r="A97" s="8" t="n">
        <v>0.415822</v>
      </c>
      <c r="B97" s="8" t="n">
        <v>-0.057403</v>
      </c>
      <c r="C97" s="8" t="n">
        <f aca="false">$G$1</f>
        <v>0</v>
      </c>
      <c r="D97" s="8" t="n">
        <f aca="false">(( -A97 ) * SIN(RADIANS($F$1)) + (B97 - 0) * COS(RADIANS($F$1))) * $E$1 + ($G$1 * TAN(RADIANS($I$1))) + $L$1</f>
        <v>17.7144709696136</v>
      </c>
      <c r="E97" s="8" t="n">
        <f aca="false">(( -A97 ) * COS(RADIANS($F$1)) - (B97 - 0) * SIN(RADIANS($F$1))) * $E$1 - ($G$1 * TAN(RADIANS($H$1))) - $J$1</f>
        <v>-920.725739022381</v>
      </c>
    </row>
    <row r="98" customFormat="false" ht="15" hidden="false" customHeight="true" outlineLevel="0" collapsed="false">
      <c r="A98" s="8" t="n">
        <v>0.439732</v>
      </c>
      <c r="B98" s="8" t="n">
        <v>-0.05632</v>
      </c>
      <c r="C98" s="8" t="n">
        <f aca="false">$G$1</f>
        <v>0</v>
      </c>
      <c r="D98" s="8" t="n">
        <f aca="false">(( -A98 ) * SIN(RADIANS($F$1)) + (B98 - 0) * COS(RADIANS($F$1))) * $E$1 + ($G$1 * TAN(RADIANS($I$1))) + $L$1</f>
        <v>18.0403247989799</v>
      </c>
      <c r="E98" s="8" t="n">
        <f aca="false">(( -A98 ) * COS(RADIANS($F$1)) - (B98 - 0) * SIN(RADIANS($F$1))) * $E$1 - ($G$1 * TAN(RADIANS($H$1))) - $J$1</f>
        <v>-924.781537570095</v>
      </c>
    </row>
    <row r="99" customFormat="false" ht="15" hidden="false" customHeight="true" outlineLevel="0" collapsed="false">
      <c r="A99" s="8" t="n">
        <v>0.463783</v>
      </c>
      <c r="B99" s="8" t="n">
        <v>-0.055077</v>
      </c>
      <c r="C99" s="8" t="n">
        <f aca="false">$G$1</f>
        <v>0</v>
      </c>
      <c r="D99" s="8" t="n">
        <f aca="false">(( -A99 ) * SIN(RADIANS($F$1)) + (B99 - 0) * COS(RADIANS($F$1))) * $E$1 + ($G$1 * TAN(RADIANS($I$1))) + $L$1</f>
        <v>18.3941985997735</v>
      </c>
      <c r="E99" s="8" t="n">
        <f aca="false">(( -A99 ) * COS(RADIANS($F$1)) - (B99 - 0) * SIN(RADIANS($F$1))) * $E$1 - ($G$1 * TAN(RADIANS($H$1))) - $J$1</f>
        <v>-928.860342249619</v>
      </c>
    </row>
    <row r="100" customFormat="false" ht="15" hidden="false" customHeight="true" outlineLevel="0" collapsed="false">
      <c r="A100" s="8" t="n">
        <v>0.487918</v>
      </c>
      <c r="B100" s="8" t="n">
        <v>-0.053687</v>
      </c>
      <c r="C100" s="8" t="n">
        <f aca="false">$G$1</f>
        <v>0</v>
      </c>
      <c r="D100" s="8" t="n">
        <f aca="false">(( -A100 ) * SIN(RADIANS($F$1)) + (B100 - 0) * COS(RADIANS($F$1))) * $E$1 + ($G$1 * TAN(RADIANS($I$1))) + $L$1</f>
        <v>18.7735455421438</v>
      </c>
      <c r="E100" s="8" t="n">
        <f aca="false">(( -A100 ) * COS(RADIANS($F$1)) - (B100 - 0) * SIN(RADIANS($F$1))) * $E$1 - ($G$1 * TAN(RADIANS($H$1))) - $J$1</f>
        <v>-932.952546091729</v>
      </c>
    </row>
    <row r="101" customFormat="false" ht="15" hidden="false" customHeight="true" outlineLevel="0" collapsed="false">
      <c r="A101" s="8" t="n">
        <v>0.512082</v>
      </c>
      <c r="B101" s="8" t="n">
        <v>-0.052162</v>
      </c>
      <c r="C101" s="8" t="n">
        <f aca="false">$G$1</f>
        <v>0</v>
      </c>
      <c r="D101" s="8" t="n">
        <f aca="false">(( -A101 ) * SIN(RADIANS($F$1)) + (B101 - 0) * COS(RADIANS($F$1))) * $E$1 + ($G$1 * TAN(RADIANS($I$1))) + $L$1</f>
        <v>19.1760005585099</v>
      </c>
      <c r="E101" s="8" t="n">
        <f aca="false">(( -A101 ) * COS(RADIANS($F$1)) - (B101 - 0) * SIN(RADIANS($F$1))) * $E$1 - ($G$1 * TAN(RADIANS($H$1))) - $J$1</f>
        <v>-937.048875987166</v>
      </c>
    </row>
    <row r="102" customFormat="false" ht="15" hidden="false" customHeight="true" outlineLevel="0" collapsed="false">
      <c r="A102" s="8" t="n">
        <v>0.536217</v>
      </c>
      <c r="B102" s="8" t="n">
        <v>-0.050516</v>
      </c>
      <c r="C102" s="8" t="n">
        <f aca="false">$G$1</f>
        <v>0</v>
      </c>
      <c r="D102" s="8" t="n">
        <f aca="false">(( -A102 ) * SIN(RADIANS($F$1)) + (B102 - 0) * COS(RADIANS($F$1))) * $E$1 + ($G$1 * TAN(RADIANS($I$1))) + $L$1</f>
        <v>19.5988409896663</v>
      </c>
      <c r="E102" s="8" t="n">
        <f aca="false">(( -A102 ) * COS(RADIANS($F$1)) - (B102 - 0) * SIN(RADIANS($F$1))) * $E$1 - ($G$1 * TAN(RADIANS($H$1))) - $J$1</f>
        <v>-941.139561003179</v>
      </c>
    </row>
    <row r="103" customFormat="false" ht="15" hidden="false" customHeight="true" outlineLevel="0" collapsed="false">
      <c r="A103" s="8" t="n">
        <v>0.560268</v>
      </c>
      <c r="B103" s="8" t="n">
        <v>-0.048762</v>
      </c>
      <c r="C103" s="8" t="n">
        <f aca="false">$G$1</f>
        <v>0</v>
      </c>
      <c r="D103" s="8" t="n">
        <f aca="false">(( -A103 ) * SIN(RADIANS($F$1)) + (B103 - 0) * COS(RADIANS($F$1))) * $E$1 + ($G$1 * TAN(RADIANS($I$1))) + $L$1</f>
        <v>20.0395318715916</v>
      </c>
      <c r="E103" s="8" t="n">
        <f aca="false">(( -A103 ) * COS(RADIANS($F$1)) - (B103 - 0) * SIN(RADIANS($F$1))) * $E$1 - ($G$1 * TAN(RADIANS($H$1))) - $J$1</f>
        <v>-945.215333963425</v>
      </c>
    </row>
    <row r="104" customFormat="false" ht="15" hidden="false" customHeight="true" outlineLevel="0" collapsed="false">
      <c r="A104" s="8" t="n">
        <v>0.584179</v>
      </c>
      <c r="B104" s="8" t="n">
        <v>-0.046912</v>
      </c>
      <c r="C104" s="8" t="n">
        <f aca="false">$G$1</f>
        <v>0</v>
      </c>
      <c r="D104" s="8" t="n">
        <f aca="false">(( -A104 ) * SIN(RADIANS($F$1)) + (B104 - 0) * COS(RADIANS($F$1))) * $E$1 + ($G$1 * TAN(RADIANS($I$1))) + $L$1</f>
        <v>20.4957022037903</v>
      </c>
      <c r="E104" s="8" t="n">
        <f aca="false">(( -A104 ) * COS(RADIANS($F$1)) - (B104 - 0) * SIN(RADIANS($F$1))) * $E$1 - ($G$1 * TAN(RADIANS($H$1))) - $J$1</f>
        <v>-949.266751862205</v>
      </c>
    </row>
    <row r="105" customFormat="false" ht="15" hidden="false" customHeight="true" outlineLevel="0" collapsed="false">
      <c r="A105" s="8" t="n">
        <v>0.607892</v>
      </c>
      <c r="B105" s="8" t="n">
        <v>-0.04498</v>
      </c>
      <c r="C105" s="8" t="n">
        <f aca="false">$G$1</f>
        <v>0</v>
      </c>
      <c r="D105" s="8" t="n">
        <f aca="false">(( -A105 ) * SIN(RADIANS($F$1)) + (B105 - 0) * COS(RADIANS($F$1))) * $E$1 + ($G$1 * TAN(RADIANS($I$1))) + $L$1</f>
        <v>20.9646293270569</v>
      </c>
      <c r="E105" s="8" t="n">
        <f aca="false">(( -A105 ) * COS(RADIANS($F$1)) - (B105 - 0) * SIN(RADIANS($F$1))) * $E$1 - ($G$1 * TAN(RADIANS($H$1))) - $J$1</f>
        <v>-953.284043766768</v>
      </c>
    </row>
    <row r="106" customFormat="false" ht="15" hidden="false" customHeight="true" outlineLevel="0" collapsed="false">
      <c r="A106" s="8" t="n">
        <v>0.631354</v>
      </c>
      <c r="B106" s="8" t="n">
        <v>-0.042978</v>
      </c>
      <c r="C106" s="8" t="n">
        <f aca="false">$G$1</f>
        <v>0</v>
      </c>
      <c r="D106" s="8" t="n">
        <f aca="false">(( -A106 ) * SIN(RADIANS($F$1)) + (B106 - 0) * COS(RADIANS($F$1))) * $E$1 + ($G$1 * TAN(RADIANS($I$1))) + $L$1</f>
        <v>21.4439600396394</v>
      </c>
      <c r="E106" s="8" t="n">
        <f aca="false">(( -A106 ) * COS(RADIANS($F$1)) - (B106 - 0) * SIN(RADIANS($F$1))) * $E$1 - ($G$1 * TAN(RADIANS($H$1))) - $J$1</f>
        <v>-957.258276360737</v>
      </c>
    </row>
    <row r="107" customFormat="false" ht="15" hidden="false" customHeight="true" outlineLevel="0" collapsed="false">
      <c r="A107" s="8" t="n">
        <v>0.654509</v>
      </c>
      <c r="B107" s="8" t="n">
        <v>-0.040917</v>
      </c>
      <c r="C107" s="8" t="n">
        <f aca="false">$G$1</f>
        <v>0</v>
      </c>
      <c r="D107" s="8" t="n">
        <f aca="false">(( -A107 ) * SIN(RADIANS($F$1)) + (B107 - 0) * COS(RADIANS($F$1))) * $E$1 + ($G$1 * TAN(RADIANS($I$1))) + $L$1</f>
        <v>21.931493237483</v>
      </c>
      <c r="E107" s="8" t="n">
        <f aca="false">(( -A107 ) * COS(RADIANS($F$1)) - (B107 - 0) * SIN(RADIANS($F$1))) * $E$1 - ($G$1 * TAN(RADIANS($H$1))) - $J$1</f>
        <v>-961.180000705499</v>
      </c>
    </row>
    <row r="108" customFormat="false" ht="15" hidden="false" customHeight="true" outlineLevel="0" collapsed="false">
      <c r="A108" s="8" t="n">
        <v>0.677303</v>
      </c>
      <c r="B108" s="8" t="n">
        <v>-0.038811</v>
      </c>
      <c r="C108" s="8" t="n">
        <f aca="false">$G$1</f>
        <v>0</v>
      </c>
      <c r="D108" s="8" t="n">
        <f aca="false">(( -A108 ) * SIN(RADIANS($F$1)) + (B108 - 0) * COS(RADIANS($F$1))) * $E$1 + ($G$1 * TAN(RADIANS($I$1))) + $L$1</f>
        <v>22.4245299930398</v>
      </c>
      <c r="E108" s="8" t="n">
        <f aca="false">(( -A108 ) * COS(RADIANS($F$1)) - (B108 - 0) * SIN(RADIANS($F$1))) * $E$1 - ($G$1 * TAN(RADIANS($H$1))) - $J$1</f>
        <v>-965.040125454064</v>
      </c>
    </row>
    <row r="109" customFormat="false" ht="15" hidden="false" customHeight="true" outlineLevel="0" collapsed="false">
      <c r="A109" s="8" t="n">
        <v>0.699682</v>
      </c>
      <c r="B109" s="8" t="n">
        <v>-0.03667</v>
      </c>
      <c r="C109" s="8" t="n">
        <f aca="false">$G$1</f>
        <v>0</v>
      </c>
      <c r="D109" s="8" t="n">
        <f aca="false">(( -A109 ) * SIN(RADIANS($F$1)) + (B109 - 0) * COS(RADIANS($F$1))) * $E$1 + ($G$1 * TAN(RADIANS($I$1))) + $L$1</f>
        <v>22.9210509645246</v>
      </c>
      <c r="E109" s="8" t="n">
        <f aca="false">(( -A109 ) * COS(RADIANS($F$1)) - (B109 - 0) * SIN(RADIANS($F$1))) * $E$1 - ($G$1 * TAN(RADIANS($H$1))) - $J$1</f>
        <v>-968.829535527788</v>
      </c>
    </row>
    <row r="110" customFormat="false" ht="15" hidden="false" customHeight="true" outlineLevel="0" collapsed="false">
      <c r="A110" s="8" t="n">
        <v>0.721596</v>
      </c>
      <c r="B110" s="8" t="n">
        <v>-0.034506</v>
      </c>
      <c r="C110" s="8" t="n">
        <f aca="false">$G$1</f>
        <v>0</v>
      </c>
      <c r="D110" s="8" t="n">
        <f aca="false">(( -A110 ) * SIN(RADIANS($F$1)) + (B110 - 0) * COS(RADIANS($F$1))) * $E$1 + ($G$1 * TAN(RADIANS($I$1))) + $L$1</f>
        <v>23.4187207489286</v>
      </c>
      <c r="E110" s="8" t="n">
        <f aca="false">(( -A110 ) * COS(RADIANS($F$1)) - (B110 - 0) * SIN(RADIANS($F$1))) * $E$1 - ($G$1 * TAN(RADIANS($H$1))) - $J$1</f>
        <v>-972.539807299614</v>
      </c>
    </row>
    <row r="111" customFormat="false" ht="15" hidden="false" customHeight="true" outlineLevel="0" collapsed="false">
      <c r="A111" s="8" t="n">
        <v>0.742992</v>
      </c>
      <c r="B111" s="8" t="n">
        <v>-0.032329</v>
      </c>
      <c r="C111" s="8" t="n">
        <f aca="false">$G$1</f>
        <v>0</v>
      </c>
      <c r="D111" s="8" t="n">
        <f aca="false">(( -A111 ) * SIN(RADIANS($F$1)) + (B111 - 0) * COS(RADIANS($F$1))) * $E$1 + ($G$1 * TAN(RADIANS($I$1))) + $L$1</f>
        <v>23.9155259373808</v>
      </c>
      <c r="E111" s="8" t="n">
        <f aca="false">(( -A111 ) * COS(RADIANS($F$1)) - (B111 - 0) * SIN(RADIANS($F$1))) * $E$1 - ($G$1 * TAN(RADIANS($H$1))) - $J$1</f>
        <v>-976.161995587337</v>
      </c>
    </row>
    <row r="112" customFormat="false" ht="15" hidden="false" customHeight="true" outlineLevel="0" collapsed="false">
      <c r="A112" s="8" t="n">
        <v>0.76382</v>
      </c>
      <c r="B112" s="8" t="n">
        <v>-0.030152</v>
      </c>
      <c r="C112" s="8" t="n">
        <f aca="false">$G$1</f>
        <v>0</v>
      </c>
      <c r="D112" s="8" t="n">
        <f aca="false">(( -A112 ) * SIN(RADIANS($F$1)) + (B112 - 0) * COS(RADIANS($F$1))) * $E$1 + ($G$1 * TAN(RADIANS($I$1))) + $L$1</f>
        <v>24.4089612304318</v>
      </c>
      <c r="E112" s="8" t="n">
        <f aca="false">(( -A112 ) * COS(RADIANS($F$1)) - (B112 - 0) * SIN(RADIANS($F$1))) * $E$1 - ($G$1 * TAN(RADIANS($H$1))) - $J$1</f>
        <v>-979.687682696815</v>
      </c>
    </row>
    <row r="113" customFormat="false" ht="15" hidden="false" customHeight="true" outlineLevel="0" collapsed="false">
      <c r="A113" s="8" t="n">
        <v>0.784032</v>
      </c>
      <c r="B113" s="8" t="n">
        <v>-0.027983</v>
      </c>
      <c r="C113" s="8" t="n">
        <f aca="false">$G$1</f>
        <v>0</v>
      </c>
      <c r="D113" s="8" t="n">
        <f aca="false">(( -A113 ) * SIN(RADIANS($F$1)) + (B113 - 0) * COS(RADIANS($F$1))) * $E$1 + ($G$1 * TAN(RADIANS($I$1))) + $L$1</f>
        <v>24.8973826766641</v>
      </c>
      <c r="E113" s="8" t="n">
        <f aca="false">(( -A113 ) * COS(RADIANS($F$1)) - (B113 - 0) * SIN(RADIANS($F$1))) * $E$1 - ($G$1 * TAN(RADIANS($H$1))) - $J$1</f>
        <v>-983.108761062217</v>
      </c>
    </row>
    <row r="114" customFormat="false" ht="15" hidden="false" customHeight="true" outlineLevel="0" collapsed="false">
      <c r="A114" s="8" t="n">
        <v>0.803581</v>
      </c>
      <c r="B114" s="8" t="n">
        <v>-0.025834</v>
      </c>
      <c r="C114" s="8" t="n">
        <f aca="false">$G$1</f>
        <v>0</v>
      </c>
      <c r="D114" s="8" t="n">
        <f aca="false">(( -A114 ) * SIN(RADIANS($F$1)) + (B114 - 0) * COS(RADIANS($F$1))) * $E$1 + ($G$1 * TAN(RADIANS($I$1))) + $L$1</f>
        <v>25.3784726718121</v>
      </c>
      <c r="E114" s="8" t="n">
        <f aca="false">(( -A114 ) * COS(RADIANS($F$1)) - (B114 - 0) * SIN(RADIANS($F$1))) * $E$1 - ($G$1 * TAN(RADIANS($H$1))) - $J$1</f>
        <v>-986.41731674581</v>
      </c>
    </row>
    <row r="115" customFormat="false" ht="15" hidden="false" customHeight="true" outlineLevel="0" collapsed="false">
      <c r="A115" s="8" t="n">
        <v>0.822421</v>
      </c>
      <c r="B115" s="8" t="n">
        <v>-0.023714</v>
      </c>
      <c r="C115" s="8" t="n">
        <f aca="false">$G$1</f>
        <v>0</v>
      </c>
      <c r="D115" s="8" t="n">
        <f aca="false">(( -A115 ) * SIN(RADIANS($F$1)) + (B115 - 0) * COS(RADIANS($F$1))) * $E$1 + ($G$1 * TAN(RADIANS($I$1))) + $L$1</f>
        <v>25.8504292338465</v>
      </c>
      <c r="E115" s="8" t="n">
        <f aca="false">(( -A115 ) * COS(RADIANS($F$1)) - (B115 - 0) * SIN(RADIANS($F$1))) * $E$1 - ($G$1 * TAN(RADIANS($H$1))) - $J$1</f>
        <v>-989.605587907556</v>
      </c>
    </row>
    <row r="116" customFormat="false" ht="15" hidden="false" customHeight="true" outlineLevel="0" collapsed="false">
      <c r="A116" s="8" t="n">
        <v>0.840508</v>
      </c>
      <c r="B116" s="8" t="n">
        <v>-0.021635</v>
      </c>
      <c r="C116" s="8" t="n">
        <f aca="false">$G$1</f>
        <v>0</v>
      </c>
      <c r="D116" s="8" t="n">
        <f aca="false">(( -A116 ) * SIN(RADIANS($F$1)) + (B116 - 0) * COS(RADIANS($F$1))) * $E$1 + ($G$1 * TAN(RADIANS($I$1))) + $L$1</f>
        <v>26.3109525572453</v>
      </c>
      <c r="E116" s="8" t="n">
        <f aca="false">(( -A116 ) * COS(RADIANS($F$1)) - (B116 - 0) * SIN(RADIANS($F$1))) * $E$1 - ($G$1 * TAN(RADIANS($H$1))) - $J$1</f>
        <v>-992.666170299045</v>
      </c>
    </row>
    <row r="117" customFormat="false" ht="15" hidden="false" customHeight="true" outlineLevel="0" collapsed="false">
      <c r="A117" s="8" t="n">
        <v>0.8578</v>
      </c>
      <c r="B117" s="8" t="n">
        <v>-0.019605</v>
      </c>
      <c r="C117" s="8" t="n">
        <f aca="false">$G$1</f>
        <v>0</v>
      </c>
      <c r="D117" s="8" t="n">
        <f aca="false">(( -A117 ) * SIN(RADIANS($F$1)) + (B117 - 0) * COS(RADIANS($F$1))) * $E$1 + ($G$1 * TAN(RADIANS($I$1))) + $L$1</f>
        <v>26.7584342880773</v>
      </c>
      <c r="E117" s="8" t="n">
        <f aca="false">(( -A117 ) * COS(RADIANS($F$1)) - (B117 - 0) * SIN(RADIANS($F$1))) * $E$1 - ($G$1 * TAN(RADIANS($H$1))) - $J$1</f>
        <v>-995.591975733087</v>
      </c>
    </row>
    <row r="118" customFormat="false" ht="15" hidden="false" customHeight="true" outlineLevel="0" collapsed="false">
      <c r="A118" s="8" t="n">
        <v>0.874255</v>
      </c>
      <c r="B118" s="8" t="n">
        <v>-0.017635</v>
      </c>
      <c r="C118" s="8" t="n">
        <f aca="false">$G$1</f>
        <v>0</v>
      </c>
      <c r="D118" s="8" t="n">
        <f aca="false">(( -A118 ) * SIN(RADIANS($F$1)) + (B118 - 0) * COS(RADIANS($F$1))) * $E$1 + ($G$1 * TAN(RADIANS($I$1))) + $L$1</f>
        <v>27.19075638309</v>
      </c>
      <c r="E118" s="8" t="n">
        <f aca="false">(( -A118 ) * COS(RADIANS($F$1)) - (B118 - 0) * SIN(RADIANS($F$1))) * $E$1 - ($G$1 * TAN(RADIANS($H$1))) - $J$1</f>
        <v>-998.375933821237</v>
      </c>
    </row>
    <row r="119" customFormat="false" ht="15" hidden="false" customHeight="true" outlineLevel="0" collapsed="false">
      <c r="A119" s="8" t="n">
        <v>0.889837</v>
      </c>
      <c r="B119" s="8" t="n">
        <v>-0.015735</v>
      </c>
      <c r="C119" s="8" t="n">
        <f aca="false">$G$1</f>
        <v>0</v>
      </c>
      <c r="D119" s="8" t="n">
        <f aca="false">(( -A119 ) * SIN(RADIANS($F$1)) + (B119 - 0) * COS(RADIANS($F$1))) * $E$1 + ($G$1 * TAN(RADIANS($I$1))) + $L$1</f>
        <v>27.6060062929577</v>
      </c>
      <c r="E119" s="8" t="n">
        <f aca="false">(( -A119 ) * COS(RADIANS($F$1)) - (B119 - 0) * SIN(RADIANS($F$1))) * $E$1 - ($G$1 * TAN(RADIANS($H$1))) - $J$1</f>
        <v>-1001.01198762078</v>
      </c>
    </row>
    <row r="120" customFormat="false" ht="15" hidden="false" customHeight="true" outlineLevel="0" collapsed="false">
      <c r="A120" s="8" t="n">
        <v>0.904509</v>
      </c>
      <c r="B120" s="8" t="n">
        <v>-0.013914</v>
      </c>
      <c r="C120" s="8" t="n">
        <f aca="false">$G$1</f>
        <v>0</v>
      </c>
      <c r="D120" s="8" t="n">
        <f aca="false">(( -A120 ) * SIN(RADIANS($F$1)) + (B120 - 0) * COS(RADIANS($F$1))) * $E$1 + ($G$1 * TAN(RADIANS($I$1))) + $L$1</f>
        <v>28.0024354318812</v>
      </c>
      <c r="E120" s="8" t="n">
        <f aca="false">(( -A120 ) * COS(RADIANS($F$1)) - (B120 - 0) * SIN(RADIANS($F$1))) * $E$1 - ($G$1 * TAN(RADIANS($H$1))) - $J$1</f>
        <v>-1003.49390435964</v>
      </c>
    </row>
    <row r="121" customFormat="false" ht="15" hidden="false" customHeight="true" outlineLevel="0" collapsed="false">
      <c r="A121" s="8" t="n">
        <v>0.918235</v>
      </c>
      <c r="B121" s="8" t="n">
        <v>-0.012182</v>
      </c>
      <c r="C121" s="8" t="n">
        <f aca="false">$G$1</f>
        <v>0</v>
      </c>
      <c r="D121" s="8" t="n">
        <f aca="false">(( -A121 ) * SIN(RADIANS($F$1)) + (B121 - 0) * COS(RADIANS($F$1))) * $E$1 + ($G$1 * TAN(RADIANS($I$1))) + $L$1</f>
        <v>28.3781312505349</v>
      </c>
      <c r="E121" s="8" t="n">
        <f aca="false">(( -A121 ) * COS(RADIANS($F$1)) - (B121 - 0) * SIN(RADIANS($F$1))) * $E$1 - ($G$1 * TAN(RADIANS($H$1))) - $J$1</f>
        <v>-1005.81562709511</v>
      </c>
    </row>
    <row r="122" customFormat="false" ht="15" hidden="false" customHeight="true" outlineLevel="0" collapsed="false">
      <c r="A122" s="8" t="n">
        <v>0.930985</v>
      </c>
      <c r="B122" s="8" t="n">
        <v>-0.010549</v>
      </c>
      <c r="C122" s="8" t="n">
        <f aca="false">$G$1</f>
        <v>0</v>
      </c>
      <c r="D122" s="8" t="n">
        <f aca="false">(( -A122 ) * SIN(RADIANS($F$1)) + (B122 - 0) * COS(RADIANS($F$1))) * $E$1 + ($G$1 * TAN(RADIANS($I$1))) + $L$1</f>
        <v>28.7312167970799</v>
      </c>
      <c r="E122" s="8" t="n">
        <f aca="false">(( -A122 ) * COS(RADIANS($F$1)) - (B122 - 0) * SIN(RADIANS($F$1))) * $E$1 - ($G$1 * TAN(RADIANS($H$1))) - $J$1</f>
        <v>-1007.97211826311</v>
      </c>
    </row>
    <row r="123" customFormat="false" ht="15" hidden="false" customHeight="true" outlineLevel="0" collapsed="false">
      <c r="A123" s="8" t="n">
        <v>0.942728</v>
      </c>
      <c r="B123" s="8" t="n">
        <v>-0.009022</v>
      </c>
      <c r="C123" s="8" t="n">
        <f aca="false">$G$1</f>
        <v>0</v>
      </c>
      <c r="D123" s="8" t="n">
        <f aca="false">(( -A123 ) * SIN(RADIANS($F$1)) + (B123 - 0) * COS(RADIANS($F$1))) * $E$1 + ($G$1 * TAN(RADIANS($I$1))) + $L$1</f>
        <v>29.0603188760848</v>
      </c>
      <c r="E123" s="8" t="n">
        <f aca="false">(( -A123 ) * COS(RADIANS($F$1)) - (B123 - 0) * SIN(RADIANS($F$1))) * $E$1 - ($G$1 * TAN(RADIANS($H$1))) - $J$1</f>
        <v>-1009.95815260439</v>
      </c>
    </row>
    <row r="124" customFormat="false" ht="15" hidden="false" customHeight="true" outlineLevel="0" collapsed="false">
      <c r="A124" s="8" t="n">
        <v>0.953437</v>
      </c>
      <c r="B124" s="8" t="n">
        <v>-0.007611</v>
      </c>
      <c r="C124" s="8" t="n">
        <f aca="false">$G$1</f>
        <v>0</v>
      </c>
      <c r="D124" s="8" t="n">
        <f aca="false">(( -A124 ) * SIN(RADIANS($F$1)) + (B124 - 0) * COS(RADIANS($F$1))) * $E$1 + ($G$1 * TAN(RADIANS($I$1))) + $L$1</f>
        <v>29.3635783344538</v>
      </c>
      <c r="E124" s="8" t="n">
        <f aca="false">(( -A124 ) * COS(RADIANS($F$1)) - (B124 - 0) * SIN(RADIANS($F$1))) * $E$1 - ($G$1 * TAN(RADIANS($H$1))) - $J$1</f>
        <v>-1011.76920224419</v>
      </c>
    </row>
    <row r="125" customFormat="false" ht="15" hidden="false" customHeight="true" outlineLevel="0" collapsed="false">
      <c r="A125" s="8" t="n">
        <v>0.963087</v>
      </c>
      <c r="B125" s="8" t="n">
        <v>-0.006324</v>
      </c>
      <c r="C125" s="8" t="n">
        <f aca="false">$G$1</f>
        <v>0</v>
      </c>
      <c r="D125" s="8" t="n">
        <f aca="false">(( -A125 ) * SIN(RADIANS($F$1)) + (B125 - 0) * COS(RADIANS($F$1))) * $E$1 + ($G$1 * TAN(RADIANS($I$1))) + $L$1</f>
        <v>29.6394876778015</v>
      </c>
      <c r="E125" s="8" t="n">
        <f aca="false">(( -A125 ) * COS(RADIANS($F$1)) - (B125 - 0) * SIN(RADIANS($F$1))) * $E$1 - ($G$1 * TAN(RADIANS($H$1))) - $J$1</f>
        <v>-1013.40106723482</v>
      </c>
    </row>
    <row r="126" customFormat="false" ht="15" hidden="false" customHeight="true" outlineLevel="0" collapsed="false">
      <c r="A126" s="8" t="n">
        <v>0.971656</v>
      </c>
      <c r="B126" s="8" t="n">
        <v>-0.005169</v>
      </c>
      <c r="C126" s="8" t="n">
        <f aca="false">$G$1</f>
        <v>0</v>
      </c>
      <c r="D126" s="8" t="n">
        <f aca="false">(( -A126 ) * SIN(RADIANS($F$1)) + (B126 - 0) * COS(RADIANS($F$1))) * $E$1 + ($G$1 * TAN(RADIANS($I$1))) + $L$1</f>
        <v>29.8865572104857</v>
      </c>
      <c r="E126" s="8" t="n">
        <f aca="false">(( -A126 ) * COS(RADIANS($F$1)) - (B126 - 0) * SIN(RADIANS($F$1))) * $E$1 - ($G$1 * TAN(RADIANS($H$1))) - $J$1</f>
        <v>-1014.85005731789</v>
      </c>
    </row>
    <row r="127" customFormat="false" ht="15" hidden="false" customHeight="true" outlineLevel="0" collapsed="false">
      <c r="A127" s="8" t="n">
        <v>0.979123</v>
      </c>
      <c r="B127" s="8" t="n">
        <v>-0.004152</v>
      </c>
      <c r="C127" s="8" t="n">
        <f aca="false">$G$1</f>
        <v>0</v>
      </c>
      <c r="D127" s="8" t="n">
        <f aca="false">(( -A127 ) * SIN(RADIANS($F$1)) + (B127 - 0) * COS(RADIANS($F$1))) * $E$1 + ($G$1 * TAN(RADIANS($I$1))) + $L$1</f>
        <v>30.1036429626597</v>
      </c>
      <c r="E127" s="8" t="n">
        <f aca="false">(( -A127 ) * COS(RADIANS($F$1)) - (B127 - 0) * SIN(RADIANS($F$1))) * $E$1 - ($G$1 * TAN(RADIANS($H$1))) - $J$1</f>
        <v>-1016.11264026565</v>
      </c>
    </row>
    <row r="128" customFormat="false" ht="15" hidden="false" customHeight="true" outlineLevel="0" collapsed="false">
      <c r="A128" s="8" t="n">
        <v>0.985471</v>
      </c>
      <c r="B128" s="8" t="n">
        <v>-0.00328</v>
      </c>
      <c r="C128" s="8" t="n">
        <f aca="false">$G$1</f>
        <v>0</v>
      </c>
      <c r="D128" s="8" t="n">
        <f aca="false">(( -A128 ) * SIN(RADIANS($F$1)) + (B128 - 0) * COS(RADIANS($F$1))) * $E$1 + ($G$1 * TAN(RADIANS($I$1))) + $L$1</f>
        <v>30.2894547996941</v>
      </c>
      <c r="E128" s="8" t="n">
        <f aca="false">(( -A128 ) * COS(RADIANS($F$1)) - (B128 - 0) * SIN(RADIANS($F$1))) * $E$1 - ($G$1 * TAN(RADIANS($H$1))) - $J$1</f>
        <v>-1017.18596936901</v>
      </c>
    </row>
    <row r="129" customFormat="false" ht="15" hidden="false" customHeight="true" outlineLevel="0" collapsed="false">
      <c r="A129" s="8" t="n">
        <v>0.990685</v>
      </c>
      <c r="B129" s="8" t="n">
        <v>-0.00256</v>
      </c>
      <c r="C129" s="8" t="n">
        <f aca="false">$G$1</f>
        <v>0</v>
      </c>
      <c r="D129" s="8" t="n">
        <f aca="false">(( -A129 ) * SIN(RADIANS($F$1)) + (B129 - 0) * COS(RADIANS($F$1))) * $E$1 + ($G$1 * TAN(RADIANS($I$1))) + $L$1</f>
        <v>30.4427144527882</v>
      </c>
      <c r="E129" s="8" t="n">
        <f aca="false">(( -A129 ) * COS(RADIANS($F$1)) - (B129 - 0) * SIN(RADIANS($F$1))) * $E$1 - ($G$1 * TAN(RADIANS($H$1))) - $J$1</f>
        <v>-1018.06753771175</v>
      </c>
    </row>
    <row r="130" customFormat="false" ht="15" hidden="false" customHeight="true" outlineLevel="0" collapsed="false">
      <c r="A130" s="8" t="n">
        <v>0.994753</v>
      </c>
      <c r="B130" s="8" t="n">
        <v>-0.001994</v>
      </c>
      <c r="C130" s="8" t="n">
        <f aca="false">$G$1</f>
        <v>0</v>
      </c>
      <c r="D130" s="8" t="n">
        <f aca="false">(( -A130 ) * SIN(RADIANS($F$1)) + (B130 - 0) * COS(RADIANS($F$1))) * $E$1 + ($G$1 * TAN(RADIANS($I$1))) + $L$1</f>
        <v>30.5630109340878</v>
      </c>
      <c r="E130" s="8" t="n">
        <f aca="false">(( -A130 ) * COS(RADIANS($F$1)) - (B130 - 0) * SIN(RADIANS($F$1))) * $E$1 - ($G$1 * TAN(RADIANS($H$1))) - $J$1</f>
        <v>-1018.75531840242</v>
      </c>
    </row>
    <row r="131" customFormat="false" ht="15" hidden="false" customHeight="true" outlineLevel="0" collapsed="false">
      <c r="A131" s="8" t="n">
        <v>0.997666</v>
      </c>
      <c r="B131" s="8" t="n">
        <v>-0.001587</v>
      </c>
      <c r="C131" s="8" t="n">
        <f aca="false">$G$1</f>
        <v>0</v>
      </c>
      <c r="D131" s="8" t="n">
        <f aca="false">(( -A131 ) * SIN(RADIANS($F$1)) + (B131 - 0) * COS(RADIANS($F$1))) * $E$1 + ($G$1 * TAN(RADIANS($I$1))) + $L$1</f>
        <v>30.6494413651599</v>
      </c>
      <c r="E131" s="8" t="n">
        <f aca="false">(( -A131 ) * COS(RADIANS($F$1)) - (B131 - 0) * SIN(RADIANS($F$1))) * $E$1 - ($G$1 * TAN(RADIANS($H$1))) - $J$1</f>
        <v>-1019.24781203762</v>
      </c>
    </row>
    <row r="132" customFormat="false" ht="15" hidden="false" customHeight="true" outlineLevel="0" collapsed="false">
      <c r="A132" s="8" t="n">
        <v>0.999416</v>
      </c>
      <c r="B132" s="8" t="n">
        <v>-0.001342</v>
      </c>
      <c r="C132" s="8" t="n">
        <f aca="false">$G$1</f>
        <v>0</v>
      </c>
      <c r="D132" s="8" t="n">
        <f aca="false">(( -A132 ) * SIN(RADIANS($F$1)) + (B132 - 0) * COS(RADIANS($F$1))) * $E$1 + ($G$1 * TAN(RADIANS($I$1))) + $L$1</f>
        <v>30.7014485933674</v>
      </c>
      <c r="E132" s="8" t="n">
        <f aca="false">(( -A132 ) * COS(RADIANS($F$1)) - (B132 - 0) * SIN(RADIANS($F$1))) * $E$1 - ($G$1 * TAN(RADIANS($H$1))) - $J$1</f>
        <v>-1019.54367724459</v>
      </c>
    </row>
    <row r="133" customFormat="false" ht="15" hidden="false" customHeight="true" outlineLevel="0" collapsed="false">
      <c r="A133" s="8" t="n">
        <v>1</v>
      </c>
      <c r="B133" s="9" t="n">
        <v>0</v>
      </c>
      <c r="C133" s="8" t="n">
        <f aca="false">$G$1</f>
        <v>0</v>
      </c>
      <c r="D133" s="8" t="n">
        <f aca="false">(( -A133 ) * SIN(RADIANS($F$1)) + (B133 - 0) * COS(RADIANS($F$1))) * $E$1 + ($G$1 * TAN(RADIANS($I$1))) + $L$1</f>
        <v>30.9329144386458</v>
      </c>
      <c r="E133" s="8" t="n">
        <f aca="false">(( -A133 ) * COS(RADIANS($F$1)) - (B133 - 0) * SIN(RADIANS($F$1))) * $E$1 - ($G$1 * TAN(RADIANS($H$1))) - $J$1</f>
        <v>-1019.6349347947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64</v>
      </c>
      <c r="E1" s="6" t="n">
        <v>169.999999977668</v>
      </c>
      <c r="F1" s="6" t="n">
        <v>-2</v>
      </c>
      <c r="G1" s="6" t="n">
        <v>200.000000273727</v>
      </c>
      <c r="H1" s="6" t="n">
        <v>0</v>
      </c>
      <c r="I1" s="6" t="n">
        <v>0</v>
      </c>
      <c r="J1" s="6" t="n">
        <v>849.738494223775</v>
      </c>
      <c r="L1" s="6" t="n">
        <v>25</v>
      </c>
    </row>
    <row r="2" customFormat="false" ht="15" hidden="false" customHeight="true" outlineLevel="0" collapsed="false">
      <c r="A2" s="7" t="s">
        <v>50</v>
      </c>
      <c r="B2" s="7" t="s">
        <v>51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I2" s="7" t="s">
        <v>58</v>
      </c>
      <c r="J2" s="7" t="s">
        <v>59</v>
      </c>
      <c r="L2" s="7" t="s">
        <v>60</v>
      </c>
    </row>
    <row r="3" customFormat="false" ht="15" hidden="false" customHeight="true" outlineLevel="0" collapsed="false">
      <c r="A3" s="8" t="n">
        <v>1</v>
      </c>
      <c r="B3" s="9" t="n">
        <v>0</v>
      </c>
      <c r="C3" s="8" t="n">
        <f aca="false">$G$1</f>
        <v>200.000000273727</v>
      </c>
      <c r="D3" s="8" t="n">
        <f aca="false">(( -A3 ) * SIN(RADIANS($F$1)) + (B3 - 0) * COS(RADIANS($F$1))) * $E$1 + ($G$1 * TAN(RADIANS($I$1))) + $L$1</f>
        <v>30.9329144386458</v>
      </c>
      <c r="E3" s="8" t="n">
        <f aca="false">(( -A3 ) * COS(RADIANS($F$1)) - (B3 - 0) * SIN(RADIANS($F$1))) * $E$1 - ($G$1 * TAN(RADIANS($H$1))) - $J$1</f>
        <v>-1019.6349347947</v>
      </c>
      <c r="N3" s="7" t="s">
        <v>61</v>
      </c>
    </row>
    <row r="4" customFormat="false" ht="15" hidden="false" customHeight="true" outlineLevel="0" collapsed="false">
      <c r="A4" s="8" t="n">
        <v>0.999416</v>
      </c>
      <c r="B4" s="8" t="n">
        <v>0.001342</v>
      </c>
      <c r="C4" s="8" t="n">
        <f aca="false">$G$1</f>
        <v>200.000000273727</v>
      </c>
      <c r="D4" s="8" t="n">
        <f aca="false">(( -A4 ) * SIN(RADIANS($F$1)) + (B4 - 0) * COS(RADIANS($F$1))) * $E$1 + ($G$1 * TAN(RADIANS($I$1))) + $L$1</f>
        <v>31.1574506398598</v>
      </c>
      <c r="E4" s="8" t="n">
        <f aca="false">(( -A4 ) * COS(RADIANS($F$1)) - (B4 - 0) * SIN(RADIANS($F$1))) * $E$1 - ($G$1 * TAN(RADIANS($H$1))) - $J$1</f>
        <v>-1019.52775330223</v>
      </c>
      <c r="N4" s="7" t="s">
        <v>62</v>
      </c>
    </row>
    <row r="5" customFormat="false" ht="15" hidden="false" customHeight="true" outlineLevel="0" collapsed="false">
      <c r="A5" s="8" t="n">
        <v>0.997666</v>
      </c>
      <c r="B5" s="8" t="n">
        <v>0.001587</v>
      </c>
      <c r="C5" s="8" t="n">
        <f aca="false">$G$1</f>
        <v>200.000000273727</v>
      </c>
      <c r="D5" s="8" t="n">
        <f aca="false">(( -A5 ) * SIN(RADIANS($F$1)) + (B5 - 0) * COS(RADIANS($F$1))) * $E$1 + ($G$1 * TAN(RADIANS($I$1))) + $L$1</f>
        <v>31.1886926675321</v>
      </c>
      <c r="E5" s="8" t="n">
        <f aca="false">(( -A5 ) * COS(RADIANS($F$1)) - (B5 - 0) * SIN(RADIANS($F$1))) * $E$1 - ($G$1 * TAN(RADIANS($H$1))) - $J$1</f>
        <v>-1019.2289809672</v>
      </c>
      <c r="N5" s="10" t="s">
        <v>63</v>
      </c>
    </row>
    <row r="6" customFormat="false" ht="15" hidden="false" customHeight="true" outlineLevel="0" collapsed="false">
      <c r="A6" s="8" t="n">
        <v>0.994753</v>
      </c>
      <c r="B6" s="8" t="n">
        <v>0.001994</v>
      </c>
      <c r="C6" s="8" t="n">
        <f aca="false">$G$1</f>
        <v>200.000000273727</v>
      </c>
      <c r="D6" s="8" t="n">
        <f aca="false">(( -A6 ) * SIN(RADIANS($F$1)) + (B6 - 0) * COS(RADIANS($F$1))) * $E$1 + ($G$1 * TAN(RADIANS($I$1))) + $L$1</f>
        <v>31.2405579390846</v>
      </c>
      <c r="E6" s="8" t="n">
        <f aca="false">(( -A6 ) * COS(RADIANS($F$1)) - (B6 - 0) * SIN(RADIANS($F$1))) * $E$1 - ($G$1 * TAN(RADIANS($H$1))) - $J$1</f>
        <v>-1018.73165793964</v>
      </c>
    </row>
    <row r="7" customFormat="false" ht="15" hidden="false" customHeight="true" outlineLevel="0" collapsed="false">
      <c r="A7" s="8" t="n">
        <v>0.990685</v>
      </c>
      <c r="B7" s="8" t="n">
        <v>0.00256</v>
      </c>
      <c r="C7" s="8" t="n">
        <f aca="false">$G$1</f>
        <v>200.000000273727</v>
      </c>
      <c r="D7" s="8" t="n">
        <f aca="false">(( -A7 ) * SIN(RADIANS($F$1)) + (B7 - 0) * COS(RADIANS($F$1))) * $E$1 + ($G$1 * TAN(RADIANS($I$1))) + $L$1</f>
        <v>31.3125842285114</v>
      </c>
      <c r="E7" s="8" t="n">
        <f aca="false">(( -A7 ) * COS(RADIANS($F$1)) - (B7 - 0) * SIN(RADIANS($F$1))) * $E$1 - ($G$1 * TAN(RADIANS($H$1))) - $J$1</f>
        <v>-1018.03716118982</v>
      </c>
    </row>
    <row r="8" customFormat="false" ht="15" hidden="false" customHeight="true" outlineLevel="0" collapsed="false">
      <c r="A8" s="8" t="n">
        <v>0.985471</v>
      </c>
      <c r="B8" s="8" t="n">
        <v>0.00328</v>
      </c>
      <c r="C8" s="8" t="n">
        <f aca="false">$G$1</f>
        <v>200.000000273727</v>
      </c>
      <c r="D8" s="8" t="n">
        <f aca="false">(( -A8 ) * SIN(RADIANS($F$1)) + (B8 - 0) * COS(RADIANS($F$1))) * $E$1 + ($G$1 * TAN(RADIANS($I$1))) + $L$1</f>
        <v>31.4039754498393</v>
      </c>
      <c r="E8" s="8" t="n">
        <f aca="false">(( -A8 ) * COS(RADIANS($F$1)) - (B8 - 0) * SIN(RADIANS($F$1))) * $E$1 - ($G$1 * TAN(RADIANS($H$1))) - $J$1</f>
        <v>-1017.14704945029</v>
      </c>
    </row>
    <row r="9" customFormat="false" ht="15" hidden="false" customHeight="true" outlineLevel="0" collapsed="false">
      <c r="A9" s="8" t="n">
        <v>0.979123</v>
      </c>
      <c r="B9" s="8" t="n">
        <v>0.004152</v>
      </c>
      <c r="C9" s="8" t="n">
        <f aca="false">$G$1</f>
        <v>200.000000273727</v>
      </c>
      <c r="D9" s="8" t="n">
        <f aca="false">(( -A9 ) * SIN(RADIANS($F$1)) + (B9 - 0) * COS(RADIANS($F$1))) * $E$1 + ($G$1 * TAN(RADIANS($I$1))) + $L$1</f>
        <v>31.5144630051607</v>
      </c>
      <c r="E9" s="8" t="n">
        <f aca="false">(( -A9 ) * COS(RADIANS($F$1)) - (B9 - 0) * SIN(RADIANS($F$1))) * $E$1 - ($G$1 * TAN(RADIANS($H$1))) - $J$1</f>
        <v>-1016.06337334415</v>
      </c>
    </row>
    <row r="10" customFormat="false" ht="15" hidden="false" customHeight="true" outlineLevel="0" collapsed="false">
      <c r="A10" s="8" t="n">
        <v>0.971656</v>
      </c>
      <c r="B10" s="8" t="n">
        <v>0.005169</v>
      </c>
      <c r="C10" s="8" t="n">
        <f aca="false">$G$1</f>
        <v>200.000000273727</v>
      </c>
      <c r="D10" s="8" t="n">
        <f aca="false">(( -A10 ) * SIN(RADIANS($F$1)) + (B10 - 0) * COS(RADIANS($F$1))) * $E$1 + ($G$1 * TAN(RADIANS($I$1))) + $L$1</f>
        <v>31.6429466131079</v>
      </c>
      <c r="E10" s="8" t="n">
        <f aca="false">(( -A10 ) * COS(RADIANS($F$1)) - (B10 - 0) * SIN(RADIANS($F$1))) * $E$1 - ($G$1 * TAN(RADIANS($H$1))) - $J$1</f>
        <v>-1014.78872284843</v>
      </c>
    </row>
    <row r="11" customFormat="false" ht="15" hidden="false" customHeight="true" outlineLevel="0" collapsed="false">
      <c r="A11" s="8" t="n">
        <v>0.963087</v>
      </c>
      <c r="B11" s="8" t="n">
        <v>0.006324</v>
      </c>
      <c r="C11" s="8" t="n">
        <f aca="false">$G$1</f>
        <v>200.000000273727</v>
      </c>
      <c r="D11" s="8" t="n">
        <f aca="false">(( -A11 ) * SIN(RADIANS($F$1)) + (B11 - 0) * COS(RADIANS($F$1))) * $E$1 + ($G$1 * TAN(RADIANS($I$1))) + $L$1</f>
        <v>31.7883378581426</v>
      </c>
      <c r="E11" s="8" t="n">
        <f aca="false">(( -A11 ) * COS(RADIANS($F$1)) - (B11 - 0) * SIN(RADIANS($F$1))) * $E$1 - ($G$1 * TAN(RADIANS($H$1))) - $J$1</f>
        <v>-1013.326027733</v>
      </c>
    </row>
    <row r="12" customFormat="false" ht="15" hidden="false" customHeight="true" outlineLevel="0" collapsed="false">
      <c r="A12" s="8" t="n">
        <v>0.953437</v>
      </c>
      <c r="B12" s="8" t="n">
        <v>0.007611</v>
      </c>
      <c r="C12" s="8" t="n">
        <f aca="false">$G$1</f>
        <v>200.000000273727</v>
      </c>
      <c r="D12" s="8" t="n">
        <f aca="false">(( -A12 ) * SIN(RADIANS($F$1)) + (B12 - 0) * COS(RADIANS($F$1))) * $E$1 + ($G$1 * TAN(RADIANS($I$1))) + $L$1</f>
        <v>31.9497419528245</v>
      </c>
      <c r="E12" s="8" t="n">
        <f aca="false">(( -A12 ) * COS(RADIANS($F$1)) - (B12 - 0) * SIN(RADIANS($F$1))) * $E$1 - ($G$1 * TAN(RADIANS($H$1))) - $J$1</f>
        <v>-1011.67889142061</v>
      </c>
    </row>
    <row r="13" customFormat="false" ht="15" hidden="false" customHeight="true" outlineLevel="0" collapsed="false">
      <c r="A13" s="8" t="n">
        <v>0.942728</v>
      </c>
      <c r="B13" s="8" t="n">
        <v>0.009022</v>
      </c>
      <c r="C13" s="8" t="n">
        <f aca="false">$G$1</f>
        <v>200.000000273727</v>
      </c>
      <c r="D13" s="8" t="n">
        <f aca="false">(( -A13 ) * SIN(RADIANS($F$1)) + (B13 - 0) * COS(RADIANS($F$1))) * $E$1 + ($G$1 * TAN(RADIANS($I$1))) + $L$1</f>
        <v>32.1259302497466</v>
      </c>
      <c r="E13" s="8" t="n">
        <f aca="false">(( -A13 ) * COS(RADIANS($F$1)) - (B13 - 0) * SIN(RADIANS($F$1))) * $E$1 - ($G$1 * TAN(RADIANS($H$1))) - $J$1</f>
        <v>-1009.85109909626</v>
      </c>
    </row>
    <row r="14" customFormat="false" ht="15" hidden="false" customHeight="true" outlineLevel="0" collapsed="false">
      <c r="A14" s="8" t="n">
        <v>0.930985</v>
      </c>
      <c r="B14" s="8" t="n">
        <v>0.010549</v>
      </c>
      <c r="C14" s="8" t="n">
        <f aca="false">$G$1</f>
        <v>200.000000273727</v>
      </c>
      <c r="D14" s="8" t="n">
        <f aca="false">(( -A14 ) * SIN(RADIANS($F$1)) + (B14 - 0) * COS(RADIANS($F$1))) * $E$1 + ($G$1 * TAN(RADIANS($I$1))) + $L$1</f>
        <v>32.3156919002454</v>
      </c>
      <c r="E14" s="8" t="n">
        <f aca="false">(( -A14 ) * COS(RADIANS($F$1)) - (B14 - 0) * SIN(RADIANS($F$1))) * $E$1 - ($G$1 * TAN(RADIANS($H$1))) - $J$1</f>
        <v>-1007.84694563429</v>
      </c>
    </row>
    <row r="15" customFormat="false" ht="15" hidden="false" customHeight="true" outlineLevel="0" collapsed="false">
      <c r="A15" s="8" t="n">
        <v>0.918235</v>
      </c>
      <c r="B15" s="8" t="n">
        <v>0.012182</v>
      </c>
      <c r="C15" s="8" t="n">
        <f aca="false">$G$1</f>
        <v>200.000000273727</v>
      </c>
      <c r="D15" s="8" t="n">
        <f aca="false">(( -A15 ) * SIN(RADIANS($F$1)) + (B15 - 0) * COS(RADIANS($F$1))) * $E$1 + ($G$1 * TAN(RADIANS($I$1))) + $L$1</f>
        <v>32.517488128605</v>
      </c>
      <c r="E15" s="8" t="n">
        <f aca="false">(( -A15 ) * COS(RADIANS($F$1)) - (B15 - 0) * SIN(RADIANS($F$1))) * $E$1 - ($G$1 * TAN(RADIANS($H$1))) - $J$1</f>
        <v>-1005.67107756773</v>
      </c>
    </row>
    <row r="16" customFormat="false" ht="15" hidden="false" customHeight="true" outlineLevel="0" collapsed="false">
      <c r="A16" s="8" t="n">
        <v>0.904509</v>
      </c>
      <c r="B16" s="8" t="n">
        <v>0.013914</v>
      </c>
      <c r="C16" s="8" t="n">
        <f aca="false">$G$1</f>
        <v>200.000000273727</v>
      </c>
      <c r="D16" s="8" t="n">
        <f aca="false">(( -A16 ) * SIN(RADIANS($F$1)) + (B16 - 0) * COS(RADIANS($F$1))) * $E$1 + ($G$1 * TAN(RADIANS($I$1))) + $L$1</f>
        <v>32.730313580089</v>
      </c>
      <c r="E16" s="8" t="n">
        <f aca="false">(( -A16 ) * COS(RADIANS($F$1)) - (B16 - 0) * SIN(RADIANS($F$1))) * $E$1 - ($G$1 * TAN(RADIANS($H$1))) - $J$1</f>
        <v>-1003.32880321665</v>
      </c>
    </row>
    <row r="17" customFormat="false" ht="15" hidden="false" customHeight="true" outlineLevel="0" collapsed="false">
      <c r="A17" s="8" t="n">
        <v>0.889837</v>
      </c>
      <c r="B17" s="8" t="n">
        <v>0.015735</v>
      </c>
      <c r="C17" s="8" t="n">
        <f aca="false">$G$1</f>
        <v>200.000000273727</v>
      </c>
      <c r="D17" s="8" t="n">
        <f aca="false">(( -A17 ) * SIN(RADIANS($F$1)) + (B17 - 0) * COS(RADIANS($F$1))) * $E$1 + ($G$1 * TAN(RADIANS($I$1))) + $L$1</f>
        <v>32.9526472777248</v>
      </c>
      <c r="E17" s="8" t="n">
        <f aca="false">(( -A17 ) * COS(RADIANS($F$1)) - (B17 - 0) * SIN(RADIANS($F$1))) * $E$1 - ($G$1 * TAN(RADIANS($H$1))) - $J$1</f>
        <v>-1000.8252788034</v>
      </c>
    </row>
    <row r="18" customFormat="false" ht="15" hidden="false" customHeight="true" outlineLevel="0" collapsed="false">
      <c r="A18" s="8" t="n">
        <v>0.874255</v>
      </c>
      <c r="B18" s="8" t="n">
        <v>0.017635</v>
      </c>
      <c r="C18" s="8" t="n">
        <f aca="false">$G$1</f>
        <v>200.000000273727</v>
      </c>
      <c r="D18" s="8" t="n">
        <f aca="false">(( -A18 ) * SIN(RADIANS($F$1)) + (B18 - 0) * COS(RADIANS($F$1))) * $E$1 + ($G$1 * TAN(RADIANS($I$1))) + $L$1</f>
        <v>33.1830038420266</v>
      </c>
      <c r="E18" s="8" t="n">
        <f aca="false">(( -A18 ) * COS(RADIANS($F$1)) - (B18 - 0) * SIN(RADIANS($F$1))) * $E$1 - ($G$1 * TAN(RADIANS($H$1))) - $J$1</f>
        <v>-998.166679928986</v>
      </c>
    </row>
    <row r="19" customFormat="false" ht="15" hidden="false" customHeight="true" outlineLevel="0" collapsed="false">
      <c r="A19" s="8" t="n">
        <v>0.8578</v>
      </c>
      <c r="B19" s="8" t="n">
        <v>0.019605</v>
      </c>
      <c r="C19" s="8" t="n">
        <f aca="false">$G$1</f>
        <v>200.000000273727</v>
      </c>
      <c r="D19" s="8" t="n">
        <f aca="false">(( -A19 ) * SIN(RADIANS($F$1)) + (B19 - 0) * COS(RADIANS($F$1))) * $E$1 + ($G$1 * TAN(RADIANS($I$1))) + $L$1</f>
        <v>33.4200737228634</v>
      </c>
      <c r="E19" s="8" t="n">
        <f aca="false">(( -A19 ) * COS(RADIANS($F$1)) - (B19 - 0) * SIN(RADIANS($F$1))) * $E$1 - ($G$1 * TAN(RADIANS($H$1))) - $J$1</f>
        <v>-995.359346157947</v>
      </c>
    </row>
    <row r="20" customFormat="false" ht="15" hidden="false" customHeight="true" outlineLevel="0" collapsed="false">
      <c r="A20" s="8" t="n">
        <v>0.840508</v>
      </c>
      <c r="B20" s="8" t="n">
        <v>0.021635</v>
      </c>
      <c r="C20" s="8" t="n">
        <f aca="false">$G$1</f>
        <v>200.000000273727</v>
      </c>
      <c r="D20" s="8" t="n">
        <f aca="false">(( -A20 ) * SIN(RADIANS($F$1)) + (B20 - 0) * COS(RADIANS($F$1))) * $E$1 + ($G$1 * TAN(RADIANS($I$1))) + $L$1</f>
        <v>33.6623715407493</v>
      </c>
      <c r="E20" s="8" t="n">
        <f aca="false">(( -A20 ) * COS(RADIANS($F$1)) - (B20 - 0) * SIN(RADIANS($F$1))) * $E$1 - ($G$1 * TAN(RADIANS($H$1))) - $J$1</f>
        <v>-992.409453091284</v>
      </c>
    </row>
    <row r="21" customFormat="false" ht="15" hidden="false" customHeight="true" outlineLevel="0" collapsed="false">
      <c r="A21" s="8" t="n">
        <v>0.822421</v>
      </c>
      <c r="B21" s="8" t="n">
        <v>0.023714</v>
      </c>
      <c r="C21" s="8" t="n">
        <f aca="false">$G$1</f>
        <v>200.000000273727</v>
      </c>
      <c r="D21" s="8" t="n">
        <f aca="false">(( -A21 ) * SIN(RADIANS($F$1)) + (B21 - 0) * COS(RADIANS($F$1))) * $E$1 + ($G$1 * TAN(RADIANS($I$1))) + $L$1</f>
        <v>33.9082776172445</v>
      </c>
      <c r="E21" s="8" t="n">
        <f aca="false">(( -A21 ) * COS(RADIANS($F$1)) - (B21 - 0) * SIN(RADIANS($F$1))) * $E$1 - ($G$1 * TAN(RADIANS($H$1))) - $J$1</f>
        <v>-989.32420164156</v>
      </c>
    </row>
    <row r="22" customFormat="false" ht="15" hidden="false" customHeight="true" outlineLevel="0" collapsed="false">
      <c r="A22" s="8" t="n">
        <v>0.803581</v>
      </c>
      <c r="B22" s="8" t="n">
        <v>0.025834</v>
      </c>
      <c r="C22" s="8" t="n">
        <f aca="false">$G$1</f>
        <v>200.000000273727</v>
      </c>
      <c r="D22" s="8" t="n">
        <f aca="false">(( -A22 ) * SIN(RADIANS($F$1)) + (B22 - 0) * COS(RADIANS($F$1))) * $E$1 + ($G$1 * TAN(RADIANS($I$1))) + $L$1</f>
        <v>34.1566819632308</v>
      </c>
      <c r="E22" s="8" t="n">
        <f aca="false">(( -A22 ) * COS(RADIANS($F$1)) - (B22 - 0) * SIN(RADIANS($F$1))) * $E$1 - ($G$1 * TAN(RADIANS($H$1))) - $J$1</f>
        <v>-986.110774922594</v>
      </c>
    </row>
    <row r="23" customFormat="false" ht="15" hidden="false" customHeight="true" outlineLevel="0" collapsed="false">
      <c r="A23" s="8" t="n">
        <v>0.784032</v>
      </c>
      <c r="B23" s="8" t="n">
        <v>0.027983</v>
      </c>
      <c r="C23" s="8" t="n">
        <f aca="false">$G$1</f>
        <v>200.000000273727</v>
      </c>
      <c r="D23" s="8" t="n">
        <f aca="false">(( -A23 ) * SIN(RADIANS($F$1)) + (B23 - 0) * COS(RADIANS($F$1))) * $E$1 + ($G$1 * TAN(RADIANS($I$1))) + $L$1</f>
        <v>34.4058068696566</v>
      </c>
      <c r="E23" s="8" t="n">
        <f aca="false">(( -A23 ) * COS(RADIANS($F$1)) - (B23 - 0) * SIN(RADIANS($F$1))) * $E$1 - ($G$1 * TAN(RADIANS($H$1))) - $J$1</f>
        <v>-982.776719572744</v>
      </c>
    </row>
    <row r="24" customFormat="false" ht="15" hidden="false" customHeight="true" outlineLevel="0" collapsed="false">
      <c r="A24" s="8" t="n">
        <v>0.76382</v>
      </c>
      <c r="B24" s="8" t="n">
        <v>0.030152</v>
      </c>
      <c r="C24" s="8" t="n">
        <f aca="false">$G$1</f>
        <v>200.000000273727</v>
      </c>
      <c r="D24" s="8" t="n">
        <f aca="false">(( -A24 ) * SIN(RADIANS($F$1)) + (B24 - 0) * COS(RADIANS($F$1))) * $E$1 + ($G$1 * TAN(RADIANS($I$1))) + $L$1</f>
        <v>34.654396182621</v>
      </c>
      <c r="E24" s="8" t="n">
        <f aca="false">(( -A24 ) * COS(RADIANS($F$1)) - (B24 - 0) * SIN(RADIANS($F$1))) * $E$1 - ($G$1 * TAN(RADIANS($H$1))) - $J$1</f>
        <v>-979.329904224507</v>
      </c>
    </row>
    <row r="25" customFormat="false" ht="15" hidden="false" customHeight="true" outlineLevel="0" collapsed="false">
      <c r="A25" s="8" t="n">
        <v>0.742992</v>
      </c>
      <c r="B25" s="8" t="n">
        <v>0.032329</v>
      </c>
      <c r="C25" s="8" t="n">
        <f aca="false">$G$1</f>
        <v>200.000000273727</v>
      </c>
      <c r="D25" s="8" t="n">
        <f aca="false">(( -A25 ) * SIN(RADIANS($F$1)) + (B25 - 0) * COS(RADIANS($F$1))) * $E$1 + ($G$1 * TAN(RADIANS($I$1))) + $L$1</f>
        <v>34.9006899918158</v>
      </c>
      <c r="E25" s="8" t="n">
        <f aca="false">(( -A25 ) * COS(RADIANS($F$1)) - (B25 - 0) * SIN(RADIANS($F$1))) * $E$1 - ($G$1 * TAN(RADIANS($H$1))) - $J$1</f>
        <v>-975.778385205563</v>
      </c>
    </row>
    <row r="26" customFormat="false" ht="15" hidden="false" customHeight="true" outlineLevel="0" collapsed="false">
      <c r="A26" s="8" t="n">
        <v>0.721596</v>
      </c>
      <c r="B26" s="8" t="n">
        <v>0.034506</v>
      </c>
      <c r="C26" s="8" t="n">
        <f aca="false">$G$1</f>
        <v>200.000000273727</v>
      </c>
      <c r="D26" s="8" t="n">
        <f aca="false">(( -A26 ) * SIN(RADIANS($F$1)) + (B26 - 0) * COS(RADIANS($F$1))) * $E$1 + ($G$1 * TAN(RADIANS($I$1))) + $L$1</f>
        <v>35.1436139056095</v>
      </c>
      <c r="E26" s="8" t="n">
        <f aca="false">(( -A26 ) * COS(RADIANS($F$1)) - (B26 - 0) * SIN(RADIANS($F$1))) * $E$1 - ($G$1 * TAN(RADIANS($H$1))) - $J$1</f>
        <v>-972.130365008374</v>
      </c>
    </row>
    <row r="27" customFormat="false" ht="15" hidden="false" customHeight="true" outlineLevel="0" collapsed="false">
      <c r="A27" s="8" t="n">
        <v>0.699682</v>
      </c>
      <c r="B27" s="8" t="n">
        <v>0.03667</v>
      </c>
      <c r="C27" s="8" t="n">
        <f aca="false">$G$1</f>
        <v>200.000000273727</v>
      </c>
      <c r="D27" s="8" t="n">
        <f aca="false">(( -A27 ) * SIN(RADIANS($F$1)) + (B27 - 0) * COS(RADIANS($F$1))) * $E$1 + ($G$1 * TAN(RADIANS($I$1))) + $L$1</f>
        <v>35.3812559159965</v>
      </c>
      <c r="E27" s="8" t="n">
        <f aca="false">(( -A27 ) * COS(RADIANS($F$1)) - (B27 - 0) * SIN(RADIANS($F$1))) * $E$1 - ($G$1 * TAN(RADIANS($H$1))) - $J$1</f>
        <v>-968.394415582858</v>
      </c>
    </row>
    <row r="28" customFormat="false" ht="15" hidden="false" customHeight="true" outlineLevel="0" collapsed="false">
      <c r="A28" s="8" t="n">
        <v>0.677303</v>
      </c>
      <c r="B28" s="8" t="n">
        <v>0.038811</v>
      </c>
      <c r="C28" s="8" t="n">
        <f aca="false">$G$1</f>
        <v>200.000000273727</v>
      </c>
      <c r="D28" s="8" t="n">
        <f aca="false">(( -A28 ) * SIN(RADIANS($F$1)) + (B28 - 0) * COS(RADIANS($F$1))) * $E$1 + ($G$1 * TAN(RADIANS($I$1))) + $L$1</f>
        <v>35.6122315030364</v>
      </c>
      <c r="E28" s="8" t="n">
        <f aca="false">(( -A28 ) * COS(RADIANS($F$1)) - (B28 - 0) * SIN(RADIANS($F$1))) * $E$1 - ($G$1 * TAN(RADIANS($H$1))) - $J$1</f>
        <v>-964.579600769508</v>
      </c>
    </row>
    <row r="29" customFormat="false" ht="15" hidden="false" customHeight="true" outlineLevel="0" collapsed="false">
      <c r="A29" s="8" t="n">
        <v>0.654509</v>
      </c>
      <c r="B29" s="8" t="n">
        <v>0.040917</v>
      </c>
      <c r="C29" s="8" t="n">
        <f aca="false">$G$1</f>
        <v>200.000000273727</v>
      </c>
      <c r="D29" s="8" t="n">
        <f aca="false">(( -A29 ) * SIN(RADIANS($F$1)) + (B29 - 0) * COS(RADIANS($F$1))) * $E$1 + ($G$1 * TAN(RADIANS($I$1))) + $L$1</f>
        <v>35.8347985551643</v>
      </c>
      <c r="E29" s="8" t="n">
        <f aca="false">(( -A29 ) * COS(RADIANS($F$1)) - (B29 - 0) * SIN(RADIANS($F$1))) * $E$1 - ($G$1 * TAN(RADIANS($H$1))) - $J$1</f>
        <v>-960.694486585326</v>
      </c>
    </row>
    <row r="30" customFormat="false" ht="15" hidden="false" customHeight="true" outlineLevel="0" collapsed="false">
      <c r="A30" s="8" t="n">
        <v>0.631354</v>
      </c>
      <c r="B30" s="8" t="n">
        <v>0.042978</v>
      </c>
      <c r="C30" s="8" t="n">
        <f aca="false">$G$1</f>
        <v>200.000000273727</v>
      </c>
      <c r="D30" s="8" t="n">
        <f aca="false">(( -A30 ) * SIN(RADIANS($F$1)) + (B30 - 0) * COS(RADIANS($F$1))) * $E$1 + ($G$1 * TAN(RADIANS($I$1))) + $L$1</f>
        <v>36.0475784853541</v>
      </c>
      <c r="E30" s="8" t="n">
        <f aca="false">(( -A30 ) * COS(RADIANS($F$1)) - (B30 - 0) * SIN(RADIANS($F$1))) * $E$1 - ($G$1 * TAN(RADIANS($H$1))) - $J$1</f>
        <v>-956.748306767248</v>
      </c>
    </row>
    <row r="31" customFormat="false" ht="15" hidden="false" customHeight="true" outlineLevel="0" collapsed="false">
      <c r="A31" s="8" t="n">
        <v>0.607892</v>
      </c>
      <c r="B31" s="8" t="n">
        <v>0.04498</v>
      </c>
      <c r="C31" s="8" t="n">
        <f aca="false">$G$1</f>
        <v>200.000000273727</v>
      </c>
      <c r="D31" s="8" t="n">
        <f aca="false">(( -A31 ) * SIN(RADIANS($F$1)) + (B31 - 0) * COS(RADIANS($F$1))) * $E$1 + ($G$1 * TAN(RADIANS($I$1))) + $L$1</f>
        <v>36.2485131208176</v>
      </c>
      <c r="E31" s="8" t="n">
        <f aca="false">(( -A31 ) * COS(RADIANS($F$1)) - (B31 - 0) * SIN(RADIANS($F$1))) * $E$1 - ($G$1 * TAN(RADIANS($H$1))) - $J$1</f>
        <v>-952.750318783867</v>
      </c>
    </row>
    <row r="32" customFormat="false" ht="15" hidden="false" customHeight="true" outlineLevel="0" collapsed="false">
      <c r="A32" s="8" t="n">
        <v>0.584179</v>
      </c>
      <c r="B32" s="8" t="n">
        <v>0.046912</v>
      </c>
      <c r="C32" s="8" t="n">
        <f aca="false">$G$1</f>
        <v>200.000000273727</v>
      </c>
      <c r="D32" s="8" t="n">
        <f aca="false">(( -A32 ) * SIN(RADIANS($F$1)) + (B32 - 0) * COS(RADIANS($F$1))) * $E$1 + ($G$1 * TAN(RADIANS($I$1))) + $L$1</f>
        <v>36.436065843917</v>
      </c>
      <c r="E32" s="8" t="n">
        <f aca="false">(( -A32 ) * COS(RADIANS($F$1)) - (B32 - 0) * SIN(RADIANS($F$1))) * $E$1 - ($G$1 * TAN(RADIANS($H$1))) - $J$1</f>
        <v>-948.710102097913</v>
      </c>
    </row>
    <row r="33" customFormat="false" ht="15" hidden="false" customHeight="true" outlineLevel="0" collapsed="false">
      <c r="A33" s="8" t="n">
        <v>0.560268</v>
      </c>
      <c r="B33" s="8" t="n">
        <v>0.048762</v>
      </c>
      <c r="C33" s="8" t="n">
        <f aca="false">$G$1</f>
        <v>200.000000273727</v>
      </c>
      <c r="D33" s="8" t="n">
        <f aca="false">(( -A33 ) * SIN(RADIANS($F$1)) + (B33 - 0) * COS(RADIANS($F$1))) * $E$1 + ($G$1 * TAN(RADIANS($I$1))) + $L$1</f>
        <v>36.6085123418308</v>
      </c>
      <c r="E33" s="8" t="n">
        <f aca="false">(( -A33 ) * COS(RADIANS($F$1)) - (B33 - 0) * SIN(RADIANS($F$1))) * $E$1 - ($G$1 * TAN(RADIANS($H$1))) - $J$1</f>
        <v>-944.63673241571</v>
      </c>
    </row>
    <row r="34" customFormat="false" ht="15" hidden="false" customHeight="true" outlineLevel="0" collapsed="false">
      <c r="A34" s="8" t="n">
        <v>0.536217</v>
      </c>
      <c r="B34" s="8" t="n">
        <v>0.050516</v>
      </c>
      <c r="C34" s="8" t="n">
        <f aca="false">$G$1</f>
        <v>200.000000273727</v>
      </c>
      <c r="D34" s="8" t="n">
        <f aca="false">(( -A34 ) * SIN(RADIANS($F$1)) + (B34 - 0) * COS(RADIANS($F$1))) * $E$1 + ($G$1 * TAN(RADIANS($I$1))) + $L$1</f>
        <v>36.7638181734283</v>
      </c>
      <c r="E34" s="8" t="n">
        <f aca="false">(( -A34 ) * COS(RADIANS($F$1)) - (B34 - 0) * SIN(RADIANS($F$1))) * $E$1 - ($G$1 * TAN(RADIANS($H$1))) - $J$1</f>
        <v>-940.540146791614</v>
      </c>
    </row>
    <row r="35" customFormat="false" ht="15" hidden="false" customHeight="true" outlineLevel="0" collapsed="false">
      <c r="A35" s="8" t="n">
        <v>0.512082</v>
      </c>
      <c r="B35" s="8" t="n">
        <v>0.052162</v>
      </c>
      <c r="C35" s="8" t="n">
        <f aca="false">$G$1</f>
        <v>200.000000273727</v>
      </c>
      <c r="D35" s="8" t="n">
        <f aca="false">(( -A35 ) * SIN(RADIANS($F$1)) + (B35 - 0) * COS(RADIANS($F$1))) * $E$1 + ($G$1 * TAN(RADIANS($I$1))) + $L$1</f>
        <v>36.9002768246314</v>
      </c>
      <c r="E35" s="8" t="n">
        <f aca="false">(( -A35 ) * COS(RADIANS($F$1)) - (B35 - 0) * SIN(RADIANS($F$1))) * $E$1 - ($G$1 * TAN(RADIANS($H$1))) - $J$1</f>
        <v>-936.429930621268</v>
      </c>
    </row>
    <row r="36" customFormat="false" ht="15" hidden="false" customHeight="true" outlineLevel="0" collapsed="false">
      <c r="A36" s="8" t="n">
        <v>0.487918</v>
      </c>
      <c r="B36" s="8" t="n">
        <v>0.053687</v>
      </c>
      <c r="C36" s="8" t="n">
        <f aca="false">$G$1</f>
        <v>200.000000273727</v>
      </c>
      <c r="D36" s="8" t="n">
        <f aca="false">(( -A36 ) * SIN(RADIANS($F$1)) + (B36 - 0) * COS(RADIANS($F$1))) * $E$1 + ($G$1 * TAN(RADIANS($I$1))) + $L$1</f>
        <v>37.0160059520066</v>
      </c>
      <c r="E36" s="8" t="n">
        <f aca="false">(( -A36 ) * COS(RADIANS($F$1)) - (B36 - 0) * SIN(RADIANS($F$1))) * $E$1 - ($G$1 * TAN(RADIANS($H$1))) - $J$1</f>
        <v>-932.315505336793</v>
      </c>
    </row>
    <row r="37" customFormat="false" ht="15" hidden="false" customHeight="true" outlineLevel="0" collapsed="false">
      <c r="A37" s="8" t="n">
        <v>0.463783</v>
      </c>
      <c r="B37" s="8" t="n">
        <v>0.055077</v>
      </c>
      <c r="C37" s="8" t="n">
        <f aca="false">$G$1</f>
        <v>200.000000273727</v>
      </c>
      <c r="D37" s="8" t="n">
        <f aca="false">(( -A37 ) * SIN(RADIANS($F$1)) + (B37 - 0) * COS(RADIANS($F$1))) * $E$1 + ($G$1 * TAN(RADIANS($I$1))) + $L$1</f>
        <v>37.1089711144235</v>
      </c>
      <c r="E37" s="8" t="n">
        <f aca="false">(( -A37 ) * COS(RADIANS($F$1)) - (B37 - 0) * SIN(RADIANS($F$1))) * $E$1 - ($G$1 * TAN(RADIANS($H$1))) - $J$1</f>
        <v>-928.206807992544</v>
      </c>
    </row>
    <row r="38" customFormat="false" ht="15" hidden="false" customHeight="true" outlineLevel="0" collapsed="false">
      <c r="A38" s="8" t="n">
        <v>0.439732</v>
      </c>
      <c r="B38" s="8" t="n">
        <v>0.05632</v>
      </c>
      <c r="C38" s="8" t="n">
        <f aca="false">$G$1</f>
        <v>200.000000273727</v>
      </c>
      <c r="D38" s="8" t="n">
        <f aca="false">(( -A38 ) * SIN(RADIANS($F$1)) + (B38 - 0) * COS(RADIANS($F$1))) * $E$1 + ($G$1 * TAN(RADIANS($I$1))) + $L$1</f>
        <v>37.1774598648893</v>
      </c>
      <c r="E38" s="8" t="n">
        <f aca="false">(( -A38 ) * COS(RADIANS($F$1)) - (B38 - 0) * SIN(RADIANS($F$1))) * $E$1 - ($G$1 * TAN(RADIANS($H$1))) - $J$1</f>
        <v>-924.113254087726</v>
      </c>
    </row>
    <row r="39" customFormat="false" ht="15" hidden="false" customHeight="true" outlineLevel="0" collapsed="false">
      <c r="A39" s="8" t="n">
        <v>0.415822</v>
      </c>
      <c r="B39" s="8" t="n">
        <v>0.057403</v>
      </c>
      <c r="C39" s="8" t="n">
        <f aca="false">$G$1</f>
        <v>200.000000273727</v>
      </c>
      <c r="D39" s="8" t="n">
        <f aca="false">(( -A39 ) * SIN(RADIANS($F$1)) + (B39 - 0) * COS(RADIANS($F$1))) * $E$1 + ($G$1 * TAN(RADIANS($I$1))) + $L$1</f>
        <v>37.2196017257995</v>
      </c>
      <c r="E39" s="8" t="n">
        <f aca="false">(( -A39 ) * COS(RADIANS($F$1)) - (B39 - 0) * SIN(RADIANS($F$1))) * $E$1 - ($G$1 * TAN(RADIANS($H$1))) - $J$1</f>
        <v>-920.044604847338</v>
      </c>
    </row>
    <row r="40" customFormat="false" ht="15" hidden="false" customHeight="true" outlineLevel="0" collapsed="false">
      <c r="A40" s="8" t="n">
        <v>0.392108</v>
      </c>
      <c r="B40" s="8" t="n">
        <v>0.058314</v>
      </c>
      <c r="C40" s="8" t="n">
        <f aca="false">$G$1</f>
        <v>200.000000273727</v>
      </c>
      <c r="D40" s="8" t="n">
        <f aca="false">(( -A40 ) * SIN(RADIANS($F$1)) + (B40 - 0) * COS(RADIANS($F$1))) * $E$1 + ($G$1 * TAN(RADIANS($I$1))) + $L$1</f>
        <v>37.2336842501616</v>
      </c>
      <c r="E40" s="8" t="n">
        <f aca="false">(( -A40 ) * COS(RADIANS($F$1)) - (B40 - 0) * SIN(RADIANS($F$1))) * $E$1 - ($G$1 * TAN(RADIANS($H$1))) - $J$1</f>
        <v>-916.010275770585</v>
      </c>
    </row>
    <row r="41" customFormat="false" ht="15" hidden="false" customHeight="true" outlineLevel="0" collapsed="false">
      <c r="A41" s="8" t="n">
        <v>0.368646</v>
      </c>
      <c r="B41" s="8" t="n">
        <v>0.059042</v>
      </c>
      <c r="C41" s="8" t="n">
        <f aca="false">$G$1</f>
        <v>200.000000273727</v>
      </c>
      <c r="D41" s="8" t="n">
        <f aca="false">(( -A41 ) * SIN(RADIANS($F$1)) + (B41 - 0) * COS(RADIANS($F$1))) * $E$1 + ($G$1 * TAN(RADIANS($I$1))) + $L$1</f>
        <v>37.2181708203377</v>
      </c>
      <c r="E41" s="8" t="n">
        <f aca="false">(( -A41 ) * COS(RADIANS($F$1)) - (B41 - 0) * SIN(RADIANS($F$1))) * $E$1 - ($G$1 * TAN(RADIANS($H$1))) - $J$1</f>
        <v>-912.019846320199</v>
      </c>
    </row>
    <row r="42" customFormat="false" ht="15" hidden="false" customHeight="true" outlineLevel="0" collapsed="false">
      <c r="A42" s="8" t="n">
        <v>0.345492</v>
      </c>
      <c r="B42" s="8" t="n">
        <v>0.059575</v>
      </c>
      <c r="C42" s="8" t="n">
        <f aca="false">$G$1</f>
        <v>200.000000273727</v>
      </c>
      <c r="D42" s="8" t="n">
        <f aca="false">(( -A42 ) * SIN(RADIANS($F$1)) + (B42 - 0) * COS(RADIANS($F$1))) * $E$1 + ($G$1 * TAN(RADIANS($I$1))) + $L$1</f>
        <v>37.1713549222496</v>
      </c>
      <c r="E42" s="8" t="n">
        <f aca="false">(( -A42 ) * COS(RADIANS($F$1)) - (B42 - 0) * SIN(RADIANS($F$1))) * $E$1 - ($G$1 * TAN(RADIANS($H$1))) - $J$1</f>
        <v>-908.082901891824</v>
      </c>
    </row>
    <row r="43" customFormat="false" ht="15" hidden="false" customHeight="true" outlineLevel="0" collapsed="false">
      <c r="A43" s="8" t="n">
        <v>0.322698</v>
      </c>
      <c r="B43" s="8" t="n">
        <v>0.059903</v>
      </c>
      <c r="C43" s="8" t="n">
        <f aca="false">$G$1</f>
        <v>200.000000273727</v>
      </c>
      <c r="D43" s="8" t="n">
        <f aca="false">(( -A43 ) * SIN(RADIANS($F$1)) + (B43 - 0) * COS(RADIANS($F$1))) * $E$1 + ($G$1 * TAN(RADIANS($I$1))) + $L$1</f>
        <v>37.0918461030424</v>
      </c>
      <c r="E43" s="8" t="n">
        <f aca="false">(( -A43 ) * COS(RADIANS($F$1)) - (B43 - 0) * SIN(RADIANS($F$1))) * $E$1 - ($G$1 * TAN(RADIANS($H$1))) - $J$1</f>
        <v>-904.208336429514</v>
      </c>
    </row>
    <row r="44" customFormat="false" ht="15" hidden="false" customHeight="true" outlineLevel="0" collapsed="false">
      <c r="A44" s="8" t="n">
        <v>0.300318</v>
      </c>
      <c r="B44" s="8" t="n">
        <v>0.060017</v>
      </c>
      <c r="C44" s="8" t="n">
        <f aca="false">$G$1</f>
        <v>200.000000273727</v>
      </c>
      <c r="D44" s="8" t="n">
        <f aca="false">(( -A44 ) * SIN(RADIANS($F$1)) + (B44 - 0) * COS(RADIANS($F$1))) * $E$1 + ($G$1 * TAN(RADIANS($I$1))) + $L$1</f>
        <v>36.9784356721306</v>
      </c>
      <c r="E44" s="8" t="n">
        <f aca="false">(( -A44 ) * COS(RADIANS($F$1)) - (B44 - 0) * SIN(RADIANS($F$1))) * $E$1 - ($G$1 * TAN(RADIANS($H$1))) - $J$1</f>
        <v>-900.405377737291</v>
      </c>
    </row>
    <row r="45" customFormat="false" ht="15" hidden="false" customHeight="true" outlineLevel="0" collapsed="false">
      <c r="A45" s="8" t="n">
        <v>0.278404</v>
      </c>
      <c r="B45" s="8" t="n">
        <v>0.05991</v>
      </c>
      <c r="C45" s="8" t="n">
        <f aca="false">$G$1</f>
        <v>200.000000273727</v>
      </c>
      <c r="D45" s="8" t="n">
        <f aca="false">(( -A45 ) * SIN(RADIANS($F$1)) + (B45 - 0) * COS(RADIANS($F$1))) * $E$1 + ($G$1 * TAN(RADIANS($I$1))) + $L$1</f>
        <v>36.830242865981</v>
      </c>
      <c r="E45" s="8" t="n">
        <f aca="false">(( -A45 ) * COS(RADIANS($F$1)) - (B45 - 0) * SIN(RADIANS($F$1))) * $E$1 - ($G$1 * TAN(RADIANS($H$1))) - $J$1</f>
        <v>-896.682901960464</v>
      </c>
    </row>
    <row r="46" customFormat="false" ht="15" hidden="false" customHeight="true" outlineLevel="0" collapsed="false">
      <c r="A46" s="8" t="n">
        <v>0.257008</v>
      </c>
      <c r="B46" s="8" t="n">
        <v>0.059576</v>
      </c>
      <c r="C46" s="8" t="n">
        <f aca="false">$G$1</f>
        <v>200.000000273727</v>
      </c>
      <c r="D46" s="8" t="n">
        <f aca="false">(( -A46 ) * SIN(RADIANS($F$1)) + (B46 - 0) * COS(RADIANS($F$1))) * $E$1 + ($G$1 * TAN(RADIANS($I$1))) + $L$1</f>
        <v>36.6465568175011</v>
      </c>
      <c r="E46" s="8" t="n">
        <f aca="false">(( -A46 ) * COS(RADIANS($F$1)) - (B46 - 0) * SIN(RADIANS($F$1))) * $E$1 - ($G$1 * TAN(RADIANS($H$1))) - $J$1</f>
        <v>-893.049779311431</v>
      </c>
    </row>
    <row r="47" customFormat="false" ht="15" hidden="false" customHeight="true" outlineLevel="0" collapsed="false">
      <c r="A47" s="8" t="n">
        <v>0.23618</v>
      </c>
      <c r="B47" s="8" t="n">
        <v>0.059008</v>
      </c>
      <c r="C47" s="8" t="n">
        <f aca="false">$G$1</f>
        <v>200.000000273727</v>
      </c>
      <c r="D47" s="8" t="n">
        <f aca="false">(( -A47 ) * SIN(RADIANS($F$1)) + (B47 - 0) * COS(RADIANS($F$1))) * $E$1 + ($G$1 * TAN(RADIANS($I$1))) + $L$1</f>
        <v>36.4264848973287</v>
      </c>
      <c r="E47" s="8" t="n">
        <f aca="false">(( -A47 ) * COS(RADIANS($F$1)) - (B47 - 0) * SIN(RADIANS($F$1))) * $E$1 - ($G$1 * TAN(RADIANS($H$1))) - $J$1</f>
        <v>-889.514546142621</v>
      </c>
    </row>
    <row r="48" customFormat="false" ht="15" hidden="false" customHeight="true" outlineLevel="0" collapsed="false">
      <c r="A48" s="8" t="n">
        <v>0.215968</v>
      </c>
      <c r="B48" s="8" t="n">
        <v>0.058205</v>
      </c>
      <c r="C48" s="8" t="n">
        <f aca="false">$G$1</f>
        <v>200.000000273727</v>
      </c>
      <c r="D48" s="8" t="n">
        <f aca="false">(( -A48 ) * SIN(RADIANS($F$1)) + (B48 - 0) * COS(RADIANS($F$1))) * $E$1 + ($G$1 * TAN(RADIANS($I$1))) + $L$1</f>
        <v>36.1701419889163</v>
      </c>
      <c r="E48" s="8" t="n">
        <f aca="false">(( -A48 ) * COS(RADIANS($F$1)) - (B48 - 0) * SIN(RADIANS($F$1))) * $E$1 - ($G$1 * TAN(RADIANS($H$1))) - $J$1</f>
        <v>-886.085363416096</v>
      </c>
    </row>
    <row r="49" customFormat="false" ht="15" hidden="false" customHeight="true" outlineLevel="0" collapsed="false">
      <c r="A49" s="8" t="n">
        <v>0.196419</v>
      </c>
      <c r="B49" s="8" t="n">
        <v>0.057164</v>
      </c>
      <c r="C49" s="8" t="n">
        <f aca="false">$G$1</f>
        <v>200.000000273727</v>
      </c>
      <c r="D49" s="8" t="n">
        <f aca="false">(( -A49 ) * SIN(RADIANS($F$1)) + (B49 - 0) * COS(RADIANS($F$1))) * $E$1 + ($G$1 * TAN(RADIANS($I$1))) + $L$1</f>
        <v>35.8772972499209</v>
      </c>
      <c r="E49" s="8" t="n">
        <f aca="false">(( -A49 ) * COS(RADIANS($F$1)) - (B49 - 0) * SIN(RADIANS($F$1))) * $E$1 - ($G$1 * TAN(RADIANS($H$1))) - $J$1</f>
        <v>-882.770234063305</v>
      </c>
    </row>
    <row r="50" customFormat="false" ht="15" hidden="false" customHeight="true" outlineLevel="0" collapsed="false">
      <c r="A50" s="8" t="n">
        <v>0.177579</v>
      </c>
      <c r="B50" s="8" t="n">
        <v>0.055886</v>
      </c>
      <c r="C50" s="8" t="n">
        <f aca="false">$G$1</f>
        <v>200.000000273727</v>
      </c>
      <c r="D50" s="8" t="n">
        <f aca="false">(( -A50 ) * SIN(RADIANS($F$1)) + (B50 - 0) * COS(RADIANS($F$1))) * $E$1 + ($G$1 * TAN(RADIANS($I$1))) + $L$1</f>
        <v>35.5483934908472</v>
      </c>
      <c r="E50" s="8" t="n">
        <f aca="false">(( -A50 ) * COS(RADIANS($F$1)) - (B50 - 0) * SIN(RADIANS($F$1))) * $E$1 - ($G$1 * TAN(RADIANS($H$1))) - $J$1</f>
        <v>-879.576967387602</v>
      </c>
    </row>
    <row r="51" customFormat="false" ht="15" hidden="false" customHeight="true" outlineLevel="0" collapsed="false">
      <c r="A51" s="8" t="n">
        <v>0.159492</v>
      </c>
      <c r="B51" s="8" t="n">
        <v>0.054372</v>
      </c>
      <c r="C51" s="8" t="n">
        <f aca="false">$G$1</f>
        <v>200.000000273727</v>
      </c>
      <c r="D51" s="8" t="n">
        <f aca="false">(( -A51 ) * SIN(RADIANS($F$1)) + (B51 - 0) * COS(RADIANS($F$1))) * $E$1 + ($G$1 * TAN(RADIANS($I$1))) + $L$1</f>
        <v>35.183861656371</v>
      </c>
      <c r="E51" s="8" t="n">
        <f aca="false">(( -A51 ) * COS(RADIANS($F$1)) - (B51 - 0) * SIN(RADIANS($F$1))) * $E$1 - ($G$1 * TAN(RADIANS($H$1))) - $J$1</f>
        <v>-876.513032899455</v>
      </c>
    </row>
    <row r="52" customFormat="false" ht="15" hidden="false" customHeight="true" outlineLevel="0" collapsed="false">
      <c r="A52" s="8" t="n">
        <v>0.142201</v>
      </c>
      <c r="B52" s="8" t="n">
        <v>0.052625</v>
      </c>
      <c r="C52" s="8" t="n">
        <f aca="false">$G$1</f>
        <v>200.000000273727</v>
      </c>
      <c r="D52" s="8" t="n">
        <f aca="false">(( -A52 ) * SIN(RADIANS($F$1)) + (B52 - 0) * COS(RADIANS($F$1))) * $E$1 + ($G$1 * TAN(RADIANS($I$1))) + $L$1</f>
        <v>34.784466551135</v>
      </c>
      <c r="E52" s="8" t="n">
        <f aca="false">(( -A52 ) * COS(RADIANS($F$1)) - (B52 - 0) * SIN(RADIANS($F$1))) * $E$1 - ($G$1 * TAN(RADIANS($H$1))) - $J$1</f>
        <v>-873.585718347068</v>
      </c>
    </row>
    <row r="53" customFormat="false" ht="15" hidden="false" customHeight="true" outlineLevel="0" collapsed="false">
      <c r="A53" s="8" t="n">
        <v>0.125745</v>
      </c>
      <c r="B53" s="8" t="n">
        <v>0.050651</v>
      </c>
      <c r="C53" s="8" t="n">
        <f aca="false">$G$1</f>
        <v>200.000000273727</v>
      </c>
      <c r="D53" s="8" t="n">
        <f aca="false">(( -A53 ) * SIN(RADIANS($F$1)) + (B53 - 0) * COS(RADIANS($F$1))) * $E$1 + ($G$1 * TAN(RADIANS($I$1))) + $L$1</f>
        <v>34.3514589374456</v>
      </c>
      <c r="E53" s="8" t="n">
        <f aca="false">(( -A53 ) * COS(RADIANS($F$1)) - (B53 - 0) * SIN(RADIANS($F$1))) * $E$1 - ($G$1 * TAN(RADIANS($H$1))) - $J$1</f>
        <v>-870.801614094135</v>
      </c>
    </row>
    <row r="54" customFormat="false" ht="15" hidden="false" customHeight="true" outlineLevel="0" collapsed="false">
      <c r="A54" s="8" t="n">
        <v>0.110163</v>
      </c>
      <c r="B54" s="8" t="n">
        <v>0.048457</v>
      </c>
      <c r="C54" s="8" t="n">
        <f aca="false">$G$1</f>
        <v>200.000000273727</v>
      </c>
      <c r="D54" s="8" t="n">
        <f aca="false">(( -A54 ) * SIN(RADIANS($F$1)) + (B54 - 0) * COS(RADIANS($F$1))) * $E$1 + ($G$1 * TAN(RADIANS($I$1))) + $L$1</f>
        <v>33.88625947405</v>
      </c>
      <c r="E54" s="8" t="n">
        <f aca="false">(( -A54 ) * COS(RADIANS($F$1)) - (B54 - 0) * SIN(RADIANS($F$1))) * $E$1 - ($G$1 * TAN(RADIANS($H$1))) - $J$1</f>
        <v>-868.167304571437</v>
      </c>
    </row>
    <row r="55" customFormat="false" ht="15" hidden="false" customHeight="true" outlineLevel="0" collapsed="false">
      <c r="A55" s="8" t="n">
        <v>0.095492</v>
      </c>
      <c r="B55" s="8" t="n">
        <v>0.046049</v>
      </c>
      <c r="C55" s="8" t="n">
        <f aca="false">$G$1</f>
        <v>200.000000273727</v>
      </c>
      <c r="D55" s="8" t="n">
        <f aca="false">(( -A55 ) * SIN(RADIANS($F$1)) + (B55 - 0) * COS(RADIANS($F$1))) * $E$1 + ($G$1 * TAN(RADIANS($I$1))) + $L$1</f>
        <v>33.3901070574258</v>
      </c>
      <c r="E55" s="8" t="n">
        <f aca="false">(( -A55 ) * COS(RADIANS($F$1)) - (B55 - 0) * SIN(RADIANS($F$1))) * $E$1 - ($G$1 * TAN(RADIANS($H$1))) - $J$1</f>
        <v>-865.689040349789</v>
      </c>
    </row>
    <row r="56" customFormat="false" ht="15" hidden="false" customHeight="true" outlineLevel="0" collapsed="false">
      <c r="A56" s="8" t="n">
        <v>0.081765</v>
      </c>
      <c r="B56" s="8" t="n">
        <v>0.043437</v>
      </c>
      <c r="C56" s="8" t="n">
        <f aca="false">$G$1</f>
        <v>200.000000273727</v>
      </c>
      <c r="D56" s="8" t="n">
        <f aca="false">(( -A56 ) * SIN(RADIANS($F$1)) + (B56 - 0) * COS(RADIANS($F$1))) * $E$1 + ($G$1 * TAN(RADIANS($I$1))) + $L$1</f>
        <v>32.8648964381553</v>
      </c>
      <c r="E56" s="8" t="n">
        <f aca="false">(( -A56 ) * COS(RADIANS($F$1)) - (B56 - 0) * SIN(RADIANS($F$1))) * $E$1 - ($G$1 * TAN(RADIANS($H$1))) - $J$1</f>
        <v>-863.372368682586</v>
      </c>
    </row>
    <row r="57" customFormat="false" ht="15" hidden="false" customHeight="true" outlineLevel="0" collapsed="false">
      <c r="A57" s="8" t="n">
        <v>0.069015</v>
      </c>
      <c r="B57" s="8" t="n">
        <v>0.040631</v>
      </c>
      <c r="C57" s="8" t="n">
        <f aca="false">$G$1</f>
        <v>200.000000273727</v>
      </c>
      <c r="D57" s="8" t="n">
        <f aca="false">(( -A57 ) * SIN(RADIANS($F$1)) + (B57 - 0) * COS(RADIANS($F$1))) * $E$1 + ($G$1 * TAN(RADIANS($I$1))) + $L$1</f>
        <v>32.3125223668205</v>
      </c>
      <c r="E57" s="8" t="n">
        <f aca="false">(( -A57 ) * COS(RADIANS($F$1)) - (B57 - 0) * SIN(RADIANS($F$1))) * $E$1 - ($G$1 * TAN(RADIANS($H$1))) - $J$1</f>
        <v>-861.222836823221</v>
      </c>
    </row>
    <row r="58" customFormat="false" ht="15" hidden="false" customHeight="true" outlineLevel="0" collapsed="false">
      <c r="A58" s="8" t="n">
        <v>0.057272</v>
      </c>
      <c r="B58" s="8" t="n">
        <v>0.037641</v>
      </c>
      <c r="C58" s="8" t="n">
        <f aca="false">$G$1</f>
        <v>200.000000273727</v>
      </c>
      <c r="D58" s="8" t="n">
        <f aca="false">(( -A58 ) * SIN(RADIANS($F$1)) + (B58 - 0) * COS(RADIANS($F$1))) * $E$1 + ($G$1 * TAN(RADIANS($I$1))) + $L$1</f>
        <v>31.7348617952604</v>
      </c>
      <c r="E58" s="8" t="n">
        <f aca="false">(( -A58 ) * COS(RADIANS($F$1)) - (B58 - 0) * SIN(RADIANS($F$1))) * $E$1 - ($G$1 * TAN(RADIANS($H$1))) - $J$1</f>
        <v>-859.245482335768</v>
      </c>
    </row>
    <row r="59" customFormat="false" ht="15" hidden="false" customHeight="true" outlineLevel="0" collapsed="false">
      <c r="A59" s="8" t="n">
        <v>0.046563</v>
      </c>
      <c r="B59" s="8" t="n">
        <v>0.034479</v>
      </c>
      <c r="C59" s="8" t="n">
        <f aca="false">$G$1</f>
        <v>200.000000273727</v>
      </c>
      <c r="D59" s="8" t="n">
        <f aca="false">(( -A59 ) * SIN(RADIANS($F$1)) + (B59 - 0) * COS(RADIANS($F$1))) * $E$1 + ($G$1 * TAN(RADIANS($I$1))) + $L$1</f>
        <v>31.1341136694517</v>
      </c>
      <c r="E59" s="8" t="n">
        <f aca="false">(( -A59 ) * COS(RADIANS($F$1)) - (B59 - 0) * SIN(RADIANS($F$1))) * $E$1 - ($G$1 * TAN(RADIANS($H$1))) - $J$1</f>
        <v>-857.444821229149</v>
      </c>
    </row>
    <row r="60" customFormat="false" ht="15" hidden="false" customHeight="true" outlineLevel="0" collapsed="false">
      <c r="A60" s="8" t="n">
        <v>0.036913</v>
      </c>
      <c r="B60" s="8" t="n">
        <v>0.031156</v>
      </c>
      <c r="C60" s="8" t="n">
        <f aca="false">$G$1</f>
        <v>200.000000273727</v>
      </c>
      <c r="D60" s="8" t="n">
        <f aca="false">(( -A60 ) * SIN(RADIANS($F$1)) + (B60 - 0) * COS(RADIANS($F$1))) * $E$1 + ($G$1 * TAN(RADIANS($I$1))) + $L$1</f>
        <v>30.5122951731016</v>
      </c>
      <c r="E60" s="8" t="n">
        <f aca="false">(( -A60 ) * COS(RADIANS($F$1)) - (B60 - 0) * SIN(RADIANS($F$1))) * $E$1 - ($G$1 * TAN(RADIANS($H$1))) - $J$1</f>
        <v>-855.825035652319</v>
      </c>
    </row>
    <row r="61" customFormat="false" ht="15" hidden="false" customHeight="true" outlineLevel="0" collapsed="false">
      <c r="A61" s="8" t="n">
        <v>0.028344</v>
      </c>
      <c r="B61" s="8" t="n">
        <v>0.027683</v>
      </c>
      <c r="C61" s="8" t="n">
        <f aca="false">$G$1</f>
        <v>200.000000273727</v>
      </c>
      <c r="D61" s="8" t="n">
        <f aca="false">(( -A61 ) * SIN(RADIANS($F$1)) + (B61 - 0) * COS(RADIANS($F$1))) * $E$1 + ($G$1 * TAN(RADIANS($I$1))) + $L$1</f>
        <v>29.871405691174</v>
      </c>
      <c r="E61" s="8" t="n">
        <f aca="false">(( -A61 ) * COS(RADIANS($F$1)) - (B61 - 0) * SIN(RADIANS($F$1))) * $E$1 - ($G$1 * TAN(RADIANS($H$1))) - $J$1</f>
        <v>-854.389798064912</v>
      </c>
    </row>
    <row r="62" customFormat="false" ht="15" hidden="false" customHeight="true" outlineLevel="0" collapsed="false">
      <c r="A62" s="8" t="n">
        <v>0.020877</v>
      </c>
      <c r="B62" s="8" t="n">
        <v>0.024071</v>
      </c>
      <c r="C62" s="8" t="n">
        <f aca="false">$G$1</f>
        <v>200.000000273727</v>
      </c>
      <c r="D62" s="8" t="n">
        <f aca="false">(( -A62 ) * SIN(RADIANS($F$1)) + (B62 - 0) * COS(RADIANS($F$1))) * $E$1 + ($G$1 * TAN(RADIANS($I$1))) + $L$1</f>
        <v>29.2134386757184</v>
      </c>
      <c r="E62" s="8" t="n">
        <f aca="false">(( -A62 ) * COS(RADIANS($F$1)) - (B62 - 0) * SIN(RADIANS($F$1))) * $E$1 - ($G$1 * TAN(RADIANS($H$1))) - $J$1</f>
        <v>-853.142611030122</v>
      </c>
    </row>
    <row r="63" customFormat="false" ht="15" hidden="false" customHeight="true" outlineLevel="0" collapsed="false">
      <c r="A63" s="8" t="n">
        <v>0.014529</v>
      </c>
      <c r="B63" s="8" t="n">
        <v>0.02033</v>
      </c>
      <c r="C63" s="8" t="n">
        <f aca="false">$G$1</f>
        <v>200.000000273727</v>
      </c>
      <c r="D63" s="8" t="n">
        <f aca="false">(( -A63 ) * SIN(RADIANS($F$1)) + (B63 - 0) * COS(RADIANS($F$1))) * $E$1 + ($G$1 * TAN(RADIANS($I$1))) + $L$1</f>
        <v>28.5401939506861</v>
      </c>
      <c r="E63" s="8" t="n">
        <f aca="false">(( -A63 ) * COS(RADIANS($F$1)) - (B63 - 0) * SIN(RADIANS($F$1))) * $E$1 - ($G$1 * TAN(RADIANS($H$1))) - $J$1</f>
        <v>-852.086303458292</v>
      </c>
    </row>
    <row r="64" customFormat="false" ht="15" hidden="false" customHeight="true" outlineLevel="0" collapsed="false">
      <c r="A64" s="8" t="n">
        <v>0.009315</v>
      </c>
      <c r="B64" s="8" t="n">
        <v>0.016471</v>
      </c>
      <c r="C64" s="8" t="n">
        <f aca="false">$G$1</f>
        <v>200.000000273727</v>
      </c>
      <c r="D64" s="8" t="n">
        <f aca="false">(( -A64 ) * SIN(RADIANS($F$1)) + (B64 - 0) * COS(RADIANS($F$1))) * $E$1 + ($G$1 * TAN(RADIANS($I$1))) + $L$1</f>
        <v>27.8536293706397</v>
      </c>
      <c r="E64" s="8" t="n">
        <f aca="false">(( -A64 ) * COS(RADIANS($F$1)) - (B64 - 0) * SIN(RADIANS($F$1))) * $E$1 - ($G$1 * TAN(RADIANS($H$1))) - $J$1</f>
        <v>-851.223358533974</v>
      </c>
    </row>
    <row r="65" customFormat="false" ht="15" hidden="false" customHeight="true" outlineLevel="0" collapsed="false">
      <c r="A65" s="8" t="n">
        <v>0.005247</v>
      </c>
      <c r="B65" s="8" t="n">
        <v>0.012501</v>
      </c>
      <c r="C65" s="8" t="n">
        <f aca="false">$G$1</f>
        <v>200.000000273727</v>
      </c>
      <c r="D65" s="8" t="n">
        <f aca="false">(( -A65 ) * SIN(RADIANS($F$1)) + (B65 - 0) * COS(RADIANS($F$1))) * $E$1 + ($G$1 * TAN(RADIANS($I$1))) + $L$1</f>
        <v>27.1550054056367</v>
      </c>
      <c r="E65" s="8" t="n">
        <f aca="false">(( -A65 ) * COS(RADIANS($F$1)) - (B65 - 0) * SIN(RADIANS($F$1))) * $E$1 - ($G$1 * TAN(RADIANS($H$1))) - $J$1</f>
        <v>-850.555773484053</v>
      </c>
    </row>
    <row r="66" customFormat="false" ht="15" hidden="false" customHeight="true" outlineLevel="0" collapsed="false">
      <c r="A66" s="8" t="n">
        <v>0.002334</v>
      </c>
      <c r="B66" s="8" t="n">
        <v>0.008429</v>
      </c>
      <c r="C66" s="8" t="n">
        <f aca="false">$G$1</f>
        <v>200.000000273727</v>
      </c>
      <c r="D66" s="8" t="n">
        <f aca="false">(( -A66 ) * SIN(RADIANS($F$1)) + (B66 - 0) * COS(RADIANS($F$1))) * $E$1 + ($G$1 * TAN(RADIANS($I$1))) + $L$1</f>
        <v>26.4459045198722</v>
      </c>
      <c r="E66" s="8" t="n">
        <f aca="false">(( -A66 ) * COS(RADIANS($F$1)) - (B66 - 0) * SIN(RADIANS($F$1))) * $E$1 - ($G$1 * TAN(RADIANS($H$1))) - $J$1</f>
        <v>-850.085023980264</v>
      </c>
    </row>
    <row r="67" customFormat="false" ht="15" hidden="false" customHeight="true" outlineLevel="0" collapsed="false">
      <c r="A67" s="8" t="n">
        <v>0.000584</v>
      </c>
      <c r="B67" s="8" t="n">
        <v>0.00426</v>
      </c>
      <c r="C67" s="8" t="n">
        <f aca="false">$G$1</f>
        <v>200.000000273727</v>
      </c>
      <c r="D67" s="8" t="n">
        <f aca="false">(( -A67 ) * SIN(RADIANS($F$1)) + (B67 - 0) * COS(RADIANS($F$1))) * $E$1 + ($G$1 * TAN(RADIANS($I$1))) + $L$1</f>
        <v>25.7272236588643</v>
      </c>
      <c r="E67" s="8" t="n">
        <f aca="false">(( -A67 ) * COS(RADIANS($F$1)) - (B67 - 0) * SIN(RADIANS($F$1))) * $E$1 - ($G$1 * TAN(RADIANS($H$1))) - $J$1</f>
        <v>-849.81243952956</v>
      </c>
    </row>
    <row r="68" customFormat="false" ht="15" hidden="false" customHeight="true" outlineLevel="0" collapsed="false">
      <c r="A68" s="8" t="n">
        <v>0</v>
      </c>
      <c r="B68" s="8" t="n">
        <v>0</v>
      </c>
      <c r="C68" s="8" t="n">
        <f aca="false">$G$1</f>
        <v>200.000000273727</v>
      </c>
      <c r="D68" s="8" t="n">
        <f aca="false">(( -A68 ) * SIN(RADIANS($F$1)) + (B68 - 0) * COS(RADIANS($F$1))) * $E$1 + ($G$1 * TAN(RADIANS($I$1))) + $L$1</f>
        <v>25</v>
      </c>
      <c r="E68" s="8" t="n">
        <f aca="false">(( -A68 ) * COS(RADIANS($F$1)) - (B68 - 0) * SIN(RADIANS($F$1))) * $E$1 - ($G$1 * TAN(RADIANS($H$1))) - $J$1</f>
        <v>-849.738494223775</v>
      </c>
    </row>
    <row r="69" customFormat="false" ht="15" hidden="false" customHeight="true" outlineLevel="0" collapsed="false">
      <c r="A69" s="8" t="n">
        <v>0.000584</v>
      </c>
      <c r="B69" s="8" t="n">
        <v>-0.00426</v>
      </c>
      <c r="C69" s="8" t="n">
        <f aca="false">$G$1</f>
        <v>200.000000273727</v>
      </c>
      <c r="D69" s="8" t="n">
        <f aca="false">(( -A69 ) * SIN(RADIANS($F$1)) + (B69 - 0) * COS(RADIANS($F$1))) * $E$1 + ($G$1 * TAN(RADIANS($I$1))) + $L$1</f>
        <v>24.2797059852</v>
      </c>
      <c r="E69" s="8" t="n">
        <f aca="false">(( -A69 ) * COS(RADIANS($F$1)) - (B69 - 0) * SIN(RADIANS($F$1))) * $E$1 - ($G$1 * TAN(RADIANS($H$1))) - $J$1</f>
        <v>-849.862987960577</v>
      </c>
    </row>
    <row r="70" customFormat="false" ht="15" hidden="false" customHeight="true" outlineLevel="0" collapsed="false">
      <c r="A70" s="8" t="n">
        <v>0.002334</v>
      </c>
      <c r="B70" s="8" t="n">
        <v>-0.008429</v>
      </c>
      <c r="C70" s="8" t="n">
        <f aca="false">$G$1</f>
        <v>200.000000273727</v>
      </c>
      <c r="D70" s="8" t="n">
        <f aca="false">(( -A70 ) * SIN(RADIANS($F$1)) + (B70 - 0) * COS(RADIANS($F$1))) * $E$1 + ($G$1 * TAN(RADIANS($I$1))) + $L$1</f>
        <v>23.5817903247274</v>
      </c>
      <c r="E70" s="8" t="n">
        <f aca="false">(( -A70 ) * COS(RADIANS($F$1)) - (B70 - 0) * SIN(RADIANS($F$1))) * $E$1 - ($G$1 * TAN(RADIANS($H$1))) - $J$1</f>
        <v>-850.185041051871</v>
      </c>
    </row>
    <row r="71" customFormat="false" ht="15" hidden="false" customHeight="true" outlineLevel="0" collapsed="false">
      <c r="A71" s="8" t="n">
        <v>0.005247</v>
      </c>
      <c r="B71" s="8" t="n">
        <v>-0.012501</v>
      </c>
      <c r="C71" s="8" t="n">
        <f aca="false">$G$1</f>
        <v>200.000000273727</v>
      </c>
      <c r="D71" s="8" t="n">
        <f aca="false">(( -A71 ) * SIN(RADIANS($F$1)) + (B71 - 0) * COS(RADIANS($F$1))) * $E$1 + ($G$1 * TAN(RADIANS($I$1))) + $L$1</f>
        <v>22.9072545984824</v>
      </c>
      <c r="E71" s="8" t="n">
        <f aca="false">(( -A71 ) * COS(RADIANS($F$1)) - (B71 - 0) * SIN(RADIANS($F$1))) * $E$1 - ($G$1 * TAN(RADIANS($H$1))) - $J$1</f>
        <v>-850.704108210848</v>
      </c>
    </row>
    <row r="72" customFormat="false" ht="15" hidden="false" customHeight="true" outlineLevel="0" collapsed="false">
      <c r="A72" s="8" t="n">
        <v>0.009315</v>
      </c>
      <c r="B72" s="8" t="n">
        <v>-0.016471</v>
      </c>
      <c r="C72" s="8" t="n">
        <f aca="false">$G$1</f>
        <v>200.000000273727</v>
      </c>
      <c r="D72" s="8" t="n">
        <f aca="false">(( -A72 ) * SIN(RADIANS($F$1)) + (B72 - 0) * COS(RADIANS($F$1))) * $E$1 + ($G$1 * TAN(RADIANS($I$1))) + $L$1</f>
        <v>22.2569008253522</v>
      </c>
      <c r="E72" s="8" t="n">
        <f aca="false">(( -A72 ) * COS(RADIANS($F$1)) - (B72 - 0) * SIN(RADIANS($F$1))) * $E$1 - ($G$1 * TAN(RADIANS($H$1))) - $J$1</f>
        <v>-851.418800601412</v>
      </c>
    </row>
    <row r="73" customFormat="false" ht="15" hidden="false" customHeight="true" outlineLevel="0" collapsed="false">
      <c r="A73" s="8" t="n">
        <v>0.014529</v>
      </c>
      <c r="B73" s="8" t="n">
        <v>-0.02033</v>
      </c>
      <c r="C73" s="8" t="n">
        <f aca="false">$G$1</f>
        <v>200.000000273727</v>
      </c>
      <c r="D73" s="8" t="n">
        <f aca="false">(( -A73 ) * SIN(RADIANS($F$1)) + (B73 - 0) * COS(RADIANS($F$1))) * $E$1 + ($G$1 * TAN(RADIANS($I$1))) + $L$1</f>
        <v>21.6322046770721</v>
      </c>
      <c r="E73" s="8" t="n">
        <f aca="false">(( -A73 ) * COS(RADIANS($F$1)) - (B73 - 0) * SIN(RADIANS($F$1))) * $E$1 - ($G$1 * TAN(RADIANS($H$1))) - $J$1</f>
        <v>-852.327535759368</v>
      </c>
    </row>
    <row r="74" customFormat="false" ht="15" hidden="false" customHeight="true" outlineLevel="0" collapsed="false">
      <c r="A74" s="8" t="n">
        <v>0.020877</v>
      </c>
      <c r="B74" s="8" t="n">
        <v>-0.024071</v>
      </c>
      <c r="C74" s="8" t="n">
        <f aca="false">$G$1</f>
        <v>200.000000273727</v>
      </c>
      <c r="D74" s="8" t="n">
        <f aca="false">(( -A74 ) * SIN(RADIANS($F$1)) + (B74 - 0) * COS(RADIANS($F$1))) * $E$1 + ($G$1 * TAN(RADIANS($I$1))) + $L$1</f>
        <v>21.0342842337528</v>
      </c>
      <c r="E74" s="8" t="n">
        <f aca="false">(( -A74 ) * COS(RADIANS($F$1)) - (B74 - 0) * SIN(RADIANS($F$1))) * $E$1 - ($G$1 * TAN(RADIANS($H$1))) - $J$1</f>
        <v>-853.428233397027</v>
      </c>
    </row>
    <row r="75" customFormat="false" ht="15" hidden="false" customHeight="true" outlineLevel="0" collapsed="false">
      <c r="A75" s="8" t="n">
        <v>0.028344</v>
      </c>
      <c r="B75" s="8" t="n">
        <v>-0.027683</v>
      </c>
      <c r="C75" s="8" t="n">
        <f aca="false">$G$1</f>
        <v>200.000000273727</v>
      </c>
      <c r="D75" s="8" t="n">
        <f aca="false">(( -A75 ) * SIN(RADIANS($F$1)) + (B75 - 0) * COS(RADIANS($F$1))) * $E$1 + ($G$1 * TAN(RADIANS($I$1))) + $L$1</f>
        <v>20.464919362524</v>
      </c>
      <c r="E75" s="8" t="n">
        <f aca="false">(( -A75 ) * COS(RADIANS($F$1)) - (B75 - 0) * SIN(RADIANS($F$1))) * $E$1 - ($G$1 * TAN(RADIANS($H$1))) - $J$1</f>
        <v>-854.718279805722</v>
      </c>
    </row>
    <row r="76" customFormat="false" ht="15" hidden="false" customHeight="true" outlineLevel="0" collapsed="false">
      <c r="A76" s="8" t="n">
        <v>0.036913</v>
      </c>
      <c r="B76" s="8" t="n">
        <v>-0.031156</v>
      </c>
      <c r="C76" s="8" t="n">
        <f aca="false">$G$1</f>
        <v>200.000000273727</v>
      </c>
      <c r="D76" s="8" t="n">
        <f aca="false">(( -A76 ) * SIN(RADIANS($F$1)) + (B76 - 0) * COS(RADIANS($F$1))) * $E$1 + ($G$1 * TAN(RADIANS($I$1))) + $L$1</f>
        <v>19.9257081682459</v>
      </c>
      <c r="E76" s="8" t="n">
        <f aca="false">(( -A76 ) * COS(RADIANS($F$1)) - (B76 - 0) * SIN(RADIANS($F$1))) * $E$1 - ($G$1 * TAN(RADIANS($H$1))) - $J$1</f>
        <v>-856.19472741682</v>
      </c>
    </row>
    <row r="77" customFormat="false" ht="15" hidden="false" customHeight="true" outlineLevel="0" collapsed="false">
      <c r="A77" s="8" t="n">
        <v>0.046563</v>
      </c>
      <c r="B77" s="8" t="n">
        <v>-0.034479</v>
      </c>
      <c r="C77" s="8" t="n">
        <f aca="false">$G$1</f>
        <v>200.000000273727</v>
      </c>
      <c r="D77" s="8" t="n">
        <f aca="false">(( -A77 ) * SIN(RADIANS($F$1)) + (B77 - 0) * COS(RADIANS($F$1))) * $E$1 + ($G$1 * TAN(RADIANS($I$1))) + $L$1</f>
        <v>19.4183949205616</v>
      </c>
      <c r="E77" s="8" t="n">
        <f aca="false">(( -A77 ) * COS(RADIANS($F$1)) - (B77 - 0) * SIN(RADIANS($F$1))) * $E$1 - ($G$1 * TAN(RADIANS($H$1))) - $J$1</f>
        <v>-857.853943143009</v>
      </c>
    </row>
    <row r="78" customFormat="false" ht="15" hidden="false" customHeight="true" outlineLevel="0" collapsed="false">
      <c r="A78" s="8" t="n">
        <v>0.057272</v>
      </c>
      <c r="B78" s="8" t="n">
        <v>-0.037641</v>
      </c>
      <c r="C78" s="8" t="n">
        <f aca="false">$G$1</f>
        <v>200.000000273727</v>
      </c>
      <c r="D78" s="8" t="n">
        <f aca="false">(( -A78 ) * SIN(RADIANS($F$1)) + (B78 - 0) * COS(RADIANS($F$1))) * $E$1 + ($G$1 * TAN(RADIANS($I$1))) + $L$1</f>
        <v>18.9447179561998</v>
      </c>
      <c r="E78" s="8" t="n">
        <f aca="false">(( -A78 ) * COS(RADIANS($F$1)) - (B78 - 0) * SIN(RADIANS($F$1))) * $E$1 - ($G$1 * TAN(RADIANS($H$1))) - $J$1</f>
        <v>-859.692124000538</v>
      </c>
    </row>
    <row r="79" customFormat="false" ht="15" hidden="false" customHeight="true" outlineLevel="0" collapsed="false">
      <c r="A79" s="8" t="n">
        <v>0.069015</v>
      </c>
      <c r="B79" s="8" t="n">
        <v>-0.040631</v>
      </c>
      <c r="C79" s="8" t="n">
        <f aca="false">$G$1</f>
        <v>200.000000273727</v>
      </c>
      <c r="D79" s="8" t="n">
        <f aca="false">(( -A79 ) * SIN(RADIANS($F$1)) + (B79 - 0) * COS(RADIANS($F$1))) * $E$1 + ($G$1 * TAN(RADIANS($I$1))) + $L$1</f>
        <v>18.5063978131458</v>
      </c>
      <c r="E79" s="8" t="n">
        <f aca="false">(( -A79 ) * COS(RADIANS($F$1)) - (B79 - 0) * SIN(RADIANS($F$1))) * $E$1 - ($G$1 * TAN(RADIANS($H$1))) - $J$1</f>
        <v>-861.704957316334</v>
      </c>
    </row>
    <row r="80" customFormat="false" ht="15" hidden="false" customHeight="true" outlineLevel="0" collapsed="false">
      <c r="A80" s="8" t="n">
        <v>0.081765</v>
      </c>
      <c r="B80" s="8" t="n">
        <v>-0.043437</v>
      </c>
      <c r="C80" s="8" t="n">
        <f aca="false">$G$1</f>
        <v>200.000000273727</v>
      </c>
      <c r="D80" s="8" t="n">
        <f aca="false">(( -A80 ) * SIN(RADIANS($F$1)) + (B80 - 0) * COS(RADIANS($F$1))) * $E$1 + ($G$1 * TAN(RADIANS($I$1))) + $L$1</f>
        <v>18.1053130599965</v>
      </c>
      <c r="E80" s="8" t="n">
        <f aca="false">(( -A80 ) * COS(RADIANS($F$1)) - (B80 - 0) * SIN(RADIANS($F$1))) * $E$1 - ($G$1 * TAN(RADIANS($H$1))) - $J$1</f>
        <v>-863.887784691528</v>
      </c>
    </row>
    <row r="81" customFormat="false" ht="15" hidden="false" customHeight="true" outlineLevel="0" collapsed="false">
      <c r="A81" s="8" t="n">
        <v>0.095492</v>
      </c>
      <c r="B81" s="8" t="n">
        <v>-0.046049</v>
      </c>
      <c r="C81" s="8" t="n">
        <f aca="false">$G$1</f>
        <v>200.000000273727</v>
      </c>
      <c r="D81" s="8" t="n">
        <f aca="false">(( -A81 ) * SIN(RADIANS($F$1)) + (B81 - 0) * COS(RADIANS($F$1))) * $E$1 + ($G$1 * TAN(RADIANS($I$1))) + $L$1</f>
        <v>17.7429846737245</v>
      </c>
      <c r="E81" s="8" t="n">
        <f aca="false">(( -A81 ) * COS(RADIANS($F$1)) - (B81 - 0) * SIN(RADIANS($F$1))) * $E$1 - ($G$1 * TAN(RADIANS($H$1))) - $J$1</f>
        <v>-866.235449903759</v>
      </c>
    </row>
    <row r="82" customFormat="false" ht="15" hidden="false" customHeight="true" outlineLevel="0" collapsed="false">
      <c r="A82" s="8" t="n">
        <v>0.110163</v>
      </c>
      <c r="B82" s="8" t="n">
        <v>-0.048457</v>
      </c>
      <c r="C82" s="8" t="n">
        <f aca="false">$G$1</f>
        <v>200.000000273727</v>
      </c>
      <c r="D82" s="8" t="n">
        <f aca="false">(( -A82 ) * SIN(RADIANS($F$1)) + (B82 - 0) * COS(RADIANS($F$1))) * $E$1 + ($G$1 * TAN(RADIANS($I$1))) + $L$1</f>
        <v>17.4209158325591</v>
      </c>
      <c r="E82" s="8" t="n">
        <f aca="false">(( -A82 ) * COS(RADIANS($F$1)) - (B82 - 0) * SIN(RADIANS($F$1))) * $E$1 - ($G$1 * TAN(RADIANS($H$1))) - $J$1</f>
        <v>-868.742287041344</v>
      </c>
    </row>
    <row r="83" customFormat="false" ht="15" hidden="false" customHeight="true" outlineLevel="0" collapsed="false">
      <c r="A83" s="8" t="n">
        <v>0.125745</v>
      </c>
      <c r="B83" s="8" t="n">
        <v>-0.050651</v>
      </c>
      <c r="C83" s="8" t="n">
        <f aca="false">$G$1</f>
        <v>200.000000273727</v>
      </c>
      <c r="D83" s="8" t="n">
        <f aca="false">(( -A83 ) * SIN(RADIANS($F$1)) + (B83 - 0) * COS(RADIANS($F$1))) * $E$1 + ($G$1 * TAN(RADIANS($I$1))) + $L$1</f>
        <v>17.1406097147294</v>
      </c>
      <c r="E83" s="8" t="n">
        <f aca="false">(( -A83 ) * COS(RADIANS($F$1)) - (B83 - 0) * SIN(RADIANS($F$1))) * $E$1 - ($G$1 * TAN(RADIANS($H$1))) - $J$1</f>
        <v>-871.402630192598</v>
      </c>
    </row>
    <row r="84" customFormat="false" ht="15" hidden="false" customHeight="true" outlineLevel="0" collapsed="false">
      <c r="A84" s="8" t="n">
        <v>0.142201</v>
      </c>
      <c r="B84" s="8" t="n">
        <v>-0.052625</v>
      </c>
      <c r="C84" s="8" t="n">
        <f aca="false">$G$1</f>
        <v>200.000000273727</v>
      </c>
      <c r="D84" s="8" t="n">
        <f aca="false">(( -A84 ) * SIN(RADIANS($F$1)) + (B84 - 0) * COS(RADIANS($F$1))) * $E$1 + ($G$1 * TAN(RADIANS($I$1))) + $L$1</f>
        <v>16.9028661810448</v>
      </c>
      <c r="E84" s="8" t="n">
        <f aca="false">(( -A84 ) * COS(RADIANS($F$1)) - (B84 - 0) * SIN(RADIANS($F$1))) * $E$1 - ($G$1 * TAN(RADIANS($H$1))) - $J$1</f>
        <v>-874.210157591735</v>
      </c>
    </row>
    <row r="85" customFormat="false" ht="15" hidden="false" customHeight="true" outlineLevel="0" collapsed="false">
      <c r="A85" s="8" t="n">
        <v>0.159492</v>
      </c>
      <c r="B85" s="8" t="n">
        <v>-0.054372</v>
      </c>
      <c r="C85" s="8" t="n">
        <f aca="false">$G$1</f>
        <v>200.000000273727</v>
      </c>
      <c r="D85" s="8" t="n">
        <f aca="false">(( -A85 ) * SIN(RADIANS($F$1)) + (B85 - 0) * COS(RADIANS($F$1))) * $E$1 + ($G$1 * TAN(RADIANS($I$1))) + $L$1</f>
        <v>16.708643122926</v>
      </c>
      <c r="E85" s="8" t="n">
        <f aca="false">(( -A85 ) * COS(RADIANS($F$1)) - (B85 - 0) * SIN(RADIANS($F$1))) * $E$1 - ($G$1 * TAN(RADIANS($H$1))) - $J$1</f>
        <v>-877.158201747172</v>
      </c>
    </row>
    <row r="86" customFormat="false" ht="15" hidden="false" customHeight="true" outlineLevel="0" collapsed="false">
      <c r="A86" s="8" t="n">
        <v>0.177579</v>
      </c>
      <c r="B86" s="8" t="n">
        <v>-0.055886</v>
      </c>
      <c r="C86" s="8" t="n">
        <f aca="false">$G$1</f>
        <v>200.000000273727</v>
      </c>
      <c r="D86" s="8" t="n">
        <f aca="false">(( -A86 ) * SIN(RADIANS($F$1)) + (B86 - 0) * COS(RADIANS($F$1))) * $E$1 + ($G$1 * TAN(RADIANS($I$1))) + $L$1</f>
        <v>16.5587285353534</v>
      </c>
      <c r="E86" s="8" t="n">
        <f aca="false">(( -A86 ) * COS(RADIANS($F$1)) - (B86 - 0) * SIN(RADIANS($F$1))) * $E$1 - ($G$1 * TAN(RADIANS($H$1))) - $J$1</f>
        <v>-880.240101100238</v>
      </c>
    </row>
    <row r="87" customFormat="false" ht="15" hidden="false" customHeight="true" outlineLevel="0" collapsed="false">
      <c r="A87" s="8" t="n">
        <v>0.196419</v>
      </c>
      <c r="B87" s="8" t="n">
        <v>-0.057164</v>
      </c>
      <c r="C87" s="8" t="n">
        <f aca="false">$G$1</f>
        <v>200.000000273727</v>
      </c>
      <c r="D87" s="8" t="n">
        <f aca="false">(( -A87 ) * SIN(RADIANS($F$1)) + (B87 - 0) * COS(RADIANS($F$1))) * $E$1 + ($G$1 * TAN(RADIANS($I$1))) + $L$1</f>
        <v>16.4533769923278</v>
      </c>
      <c r="E87" s="8" t="n">
        <f aca="false">(( -A87 ) * COS(RADIANS($F$1)) - (B87 - 0) * SIN(RADIANS($F$1))) * $E$1 - ($G$1 * TAN(RADIANS($H$1))) - $J$1</f>
        <v>-883.448532305247</v>
      </c>
    </row>
    <row r="88" customFormat="false" ht="15" hidden="false" customHeight="true" outlineLevel="0" collapsed="false">
      <c r="A88" s="8" t="n">
        <v>0.215968</v>
      </c>
      <c r="B88" s="8" t="n">
        <v>-0.058205</v>
      </c>
      <c r="C88" s="8" t="n">
        <f aca="false">$G$1</f>
        <v>200.000000273727</v>
      </c>
      <c r="D88" s="8" t="n">
        <f aca="false">(( -A88 ) * SIN(RADIANS($F$1)) + (B88 - 0) * COS(RADIANS($F$1))) * $E$1 + ($G$1 * TAN(RADIANS($I$1))) + $L$1</f>
        <v>16.3924973420546</v>
      </c>
      <c r="E88" s="8" t="n">
        <f aca="false">(( -A88 ) * COS(RADIANS($F$1)) - (B88 - 0) * SIN(RADIANS($F$1))) * $E$1 - ($G$1 * TAN(RADIANS($H$1))) - $J$1</f>
        <v>-886.776013985899</v>
      </c>
    </row>
    <row r="89" customFormat="false" ht="15" hidden="false" customHeight="true" outlineLevel="0" collapsed="false">
      <c r="A89" s="8" t="n">
        <v>0.23618</v>
      </c>
      <c r="B89" s="8" t="n">
        <v>-0.059008</v>
      </c>
      <c r="C89" s="8" t="n">
        <f aca="false">$G$1</f>
        <v>200.000000273727</v>
      </c>
      <c r="D89" s="8" t="n">
        <f aca="false">(( -A89 ) * SIN(RADIANS($F$1)) + (B89 - 0) * COS(RADIANS($F$1))) * $E$1 + ($G$1 * TAN(RADIANS($I$1))) + $L$1</f>
        <v>16.3759865669101</v>
      </c>
      <c r="E89" s="8" t="n">
        <f aca="false">(( -A89 ) * COS(RADIANS($F$1)) - (B89 - 0) * SIN(RADIANS($F$1))) * $E$1 - ($G$1 * TAN(RADIANS($H$1))) - $J$1</f>
        <v>-890.214724973012</v>
      </c>
    </row>
    <row r="90" customFormat="false" ht="15" hidden="false" customHeight="true" outlineLevel="0" collapsed="false">
      <c r="A90" s="8" t="n">
        <v>0.257008</v>
      </c>
      <c r="B90" s="8" t="n">
        <v>-0.059576</v>
      </c>
      <c r="C90" s="8" t="n">
        <f aca="false">$G$1</f>
        <v>200.000000273727</v>
      </c>
      <c r="D90" s="8" t="n">
        <f aca="false">(( -A90 ) * SIN(RADIANS($F$1)) + (B90 - 0) * COS(RADIANS($F$1))) * $E$1 + ($G$1 * TAN(RADIANS($I$1))) + $L$1</f>
        <v>16.4030561305939</v>
      </c>
      <c r="E90" s="8" t="n">
        <f aca="false">(( -A90 ) * COS(RADIANS($F$1)) - (B90 - 0) * SIN(RADIANS($F$1))) * $E$1 - ($G$1 * TAN(RADIANS($H$1))) - $J$1</f>
        <v>-893.756697932625</v>
      </c>
    </row>
    <row r="91" customFormat="false" ht="15" hidden="false" customHeight="true" outlineLevel="0" collapsed="false">
      <c r="A91" s="8" t="n">
        <v>0.278404</v>
      </c>
      <c r="B91" s="8" t="n">
        <v>-0.05991</v>
      </c>
      <c r="C91" s="8" t="n">
        <f aca="false">$G$1</f>
        <v>200.000000273727</v>
      </c>
      <c r="D91" s="8" t="n">
        <f aca="false">(( -A91 ) * SIN(RADIANS($F$1)) + (B91 - 0) * COS(RADIANS($F$1))) * $E$1 + ($G$1 * TAN(RADIANS($I$1))) + $L$1</f>
        <v>16.4732513567725</v>
      </c>
      <c r="E91" s="8" t="n">
        <f aca="false">(( -A91 ) * COS(RADIANS($F$1)) - (B91 - 0) * SIN(RADIANS($F$1))) * $E$1 - ($G$1 * TAN(RADIANS($H$1))) - $J$1</f>
        <v>-897.393783768503</v>
      </c>
    </row>
    <row r="92" customFormat="false" ht="15" hidden="false" customHeight="true" outlineLevel="0" collapsed="false">
      <c r="A92" s="8" t="n">
        <v>0.300318</v>
      </c>
      <c r="B92" s="8" t="n">
        <v>-0.060017</v>
      </c>
      <c r="C92" s="8" t="n">
        <f aca="false">$G$1</f>
        <v>200.000000273727</v>
      </c>
      <c r="D92" s="8" t="n">
        <f aca="false">(( -A92 ) * SIN(RADIANS($F$1)) + (B92 - 0) * COS(RADIANS($F$1))) * $E$1 + ($G$1 * TAN(RADIANS($I$1))) + $L$1</f>
        <v>16.5850863246398</v>
      </c>
      <c r="E92" s="8" t="n">
        <f aca="false">(( -A92 ) * COS(RADIANS($F$1)) - (B92 - 0) * SIN(RADIANS($F$1))) * $E$1 - ($G$1 * TAN(RADIANS($H$1))) - $J$1</f>
        <v>-901.117529189019</v>
      </c>
    </row>
    <row r="93" customFormat="false" ht="15" hidden="false" customHeight="true" outlineLevel="0" collapsed="false">
      <c r="A93" s="8" t="n">
        <v>0.322698</v>
      </c>
      <c r="B93" s="8" t="n">
        <v>-0.059903</v>
      </c>
      <c r="C93" s="8" t="n">
        <f aca="false">$G$1</f>
        <v>200.000000273727</v>
      </c>
      <c r="D93" s="8" t="n">
        <f aca="false">(( -A93 ) * SIN(RADIANS($F$1)) + (B93 - 0) * COS(RADIANS($F$1))) * $E$1 + ($G$1 * TAN(RADIANS($I$1))) + $L$1</f>
        <v>16.7372331440018</v>
      </c>
      <c r="E93" s="8" t="n">
        <f aca="false">(( -A93 ) * COS(RADIANS($F$1)) - (B93 - 0) * SIN(RADIANS($F$1))) * $E$1 - ($G$1 * TAN(RADIANS($H$1))) - $J$1</f>
        <v>-904.919135176751</v>
      </c>
    </row>
    <row r="94" customFormat="false" ht="15" hidden="false" customHeight="true" outlineLevel="0" collapsed="false">
      <c r="A94" s="8" t="n">
        <v>0.345492</v>
      </c>
      <c r="B94" s="8" t="n">
        <v>-0.059575</v>
      </c>
      <c r="C94" s="8" t="n">
        <f aca="false">$G$1</f>
        <v>200.000000273727</v>
      </c>
      <c r="D94" s="8" t="n">
        <f aca="false">(( -A94 ) * SIN(RADIANS($F$1)) + (B94 - 0) * COS(RADIANS($F$1))) * $E$1 + ($G$1 * TAN(RADIANS($I$1))) + $L$1</f>
        <v>16.9281940282236</v>
      </c>
      <c r="E94" s="8" t="n">
        <f aca="false">(( -A94 ) * COS(RADIANS($F$1)) - (B94 - 0) * SIN(RADIANS($F$1))) * $E$1 - ($G$1 * TAN(RADIANS($H$1))) - $J$1</f>
        <v>-908.789808647188</v>
      </c>
    </row>
    <row r="95" customFormat="false" ht="15" hidden="false" customHeight="true" outlineLevel="0" collapsed="false">
      <c r="A95" s="8" t="n">
        <v>0.368646</v>
      </c>
      <c r="B95" s="8" t="n">
        <v>-0.059042</v>
      </c>
      <c r="C95" s="8" t="n">
        <f aca="false">$G$1</f>
        <v>200.000000273727</v>
      </c>
      <c r="D95" s="8" t="n">
        <f aca="false">(( -A95 ) * SIN(RADIANS($F$1)) + (B95 - 0) * COS(RADIANS($F$1))) * $E$1 + ($G$1 * TAN(RADIANS($I$1))) + $L$1</f>
        <v>17.1561195319603</v>
      </c>
      <c r="E95" s="8" t="n">
        <f aca="false">(( -A95 ) * COS(RADIANS($F$1)) - (B95 - 0) * SIN(RADIANS($F$1))) * $E$1 - ($G$1 * TAN(RADIANS($H$1))) - $J$1</f>
        <v>-912.720428588772</v>
      </c>
    </row>
    <row r="96" customFormat="false" ht="15" hidden="false" customHeight="true" outlineLevel="0" collapsed="false">
      <c r="A96" s="8" t="n">
        <v>0.392108</v>
      </c>
      <c r="B96" s="8" t="n">
        <v>-0.058314</v>
      </c>
      <c r="C96" s="8" t="n">
        <f aca="false">$G$1</f>
        <v>200.000000273727</v>
      </c>
      <c r="D96" s="8" t="n">
        <f aca="false">(( -A96 ) * SIN(RADIANS($F$1)) + (B96 - 0) * COS(RADIANS($F$1))) * $E$1 + ($G$1 * TAN(RADIANS($I$1))) + $L$1</f>
        <v>17.4190021792554</v>
      </c>
      <c r="E96" s="8" t="n">
        <f aca="false">(( -A96 ) * COS(RADIANS($F$1)) - (B96 - 0) * SIN(RADIANS($F$1))) * $E$1 - ($G$1 * TAN(RADIANS($H$1))) - $J$1</f>
        <v>-916.702219715736</v>
      </c>
    </row>
    <row r="97" customFormat="false" ht="15" hidden="false" customHeight="true" outlineLevel="0" collapsed="false">
      <c r="A97" s="8" t="n">
        <v>0.415822</v>
      </c>
      <c r="B97" s="8" t="n">
        <v>-0.057403</v>
      </c>
      <c r="C97" s="8" t="n">
        <f aca="false">$G$1</f>
        <v>200.000000273727</v>
      </c>
      <c r="D97" s="8" t="n">
        <f aca="false">(( -A97 ) * SIN(RADIANS($F$1)) + (B97 - 0) * COS(RADIANS($F$1))) * $E$1 + ($G$1 * TAN(RADIANS($I$1))) + $L$1</f>
        <v>17.7144709696136</v>
      </c>
      <c r="E97" s="8" t="n">
        <f aca="false">(( -A97 ) * COS(RADIANS($F$1)) - (B97 - 0) * SIN(RADIANS($F$1))) * $E$1 - ($G$1 * TAN(RADIANS($H$1))) - $J$1</f>
        <v>-920.725739022381</v>
      </c>
    </row>
    <row r="98" customFormat="false" ht="15" hidden="false" customHeight="true" outlineLevel="0" collapsed="false">
      <c r="A98" s="8" t="n">
        <v>0.439732</v>
      </c>
      <c r="B98" s="8" t="n">
        <v>-0.05632</v>
      </c>
      <c r="C98" s="8" t="n">
        <f aca="false">$G$1</f>
        <v>200.000000273727</v>
      </c>
      <c r="D98" s="8" t="n">
        <f aca="false">(( -A98 ) * SIN(RADIANS($F$1)) + (B98 - 0) * COS(RADIANS($F$1))) * $E$1 + ($G$1 * TAN(RADIANS($I$1))) + $L$1</f>
        <v>18.0403247989799</v>
      </c>
      <c r="E98" s="8" t="n">
        <f aca="false">(( -A98 ) * COS(RADIANS($F$1)) - (B98 - 0) * SIN(RADIANS($F$1))) * $E$1 - ($G$1 * TAN(RADIANS($H$1))) - $J$1</f>
        <v>-924.781537570095</v>
      </c>
    </row>
    <row r="99" customFormat="false" ht="15" hidden="false" customHeight="true" outlineLevel="0" collapsed="false">
      <c r="A99" s="8" t="n">
        <v>0.463783</v>
      </c>
      <c r="B99" s="8" t="n">
        <v>-0.055077</v>
      </c>
      <c r="C99" s="8" t="n">
        <f aca="false">$G$1</f>
        <v>200.000000273727</v>
      </c>
      <c r="D99" s="8" t="n">
        <f aca="false">(( -A99 ) * SIN(RADIANS($F$1)) + (B99 - 0) * COS(RADIANS($F$1))) * $E$1 + ($G$1 * TAN(RADIANS($I$1))) + $L$1</f>
        <v>18.3941985997735</v>
      </c>
      <c r="E99" s="8" t="n">
        <f aca="false">(( -A99 ) * COS(RADIANS($F$1)) - (B99 - 0) * SIN(RADIANS($F$1))) * $E$1 - ($G$1 * TAN(RADIANS($H$1))) - $J$1</f>
        <v>-928.860342249619</v>
      </c>
    </row>
    <row r="100" customFormat="false" ht="15" hidden="false" customHeight="true" outlineLevel="0" collapsed="false">
      <c r="A100" s="8" t="n">
        <v>0.487918</v>
      </c>
      <c r="B100" s="8" t="n">
        <v>-0.053687</v>
      </c>
      <c r="C100" s="8" t="n">
        <f aca="false">$G$1</f>
        <v>200.000000273727</v>
      </c>
      <c r="D100" s="8" t="n">
        <f aca="false">(( -A100 ) * SIN(RADIANS($F$1)) + (B100 - 0) * COS(RADIANS($F$1))) * $E$1 + ($G$1 * TAN(RADIANS($I$1))) + $L$1</f>
        <v>18.7735455421438</v>
      </c>
      <c r="E100" s="8" t="n">
        <f aca="false">(( -A100 ) * COS(RADIANS($F$1)) - (B100 - 0) * SIN(RADIANS($F$1))) * $E$1 - ($G$1 * TAN(RADIANS($H$1))) - $J$1</f>
        <v>-932.952546091729</v>
      </c>
    </row>
    <row r="101" customFormat="false" ht="15" hidden="false" customHeight="true" outlineLevel="0" collapsed="false">
      <c r="A101" s="8" t="n">
        <v>0.512082</v>
      </c>
      <c r="B101" s="8" t="n">
        <v>-0.052162</v>
      </c>
      <c r="C101" s="8" t="n">
        <f aca="false">$G$1</f>
        <v>200.000000273727</v>
      </c>
      <c r="D101" s="8" t="n">
        <f aca="false">(( -A101 ) * SIN(RADIANS($F$1)) + (B101 - 0) * COS(RADIANS($F$1))) * $E$1 + ($G$1 * TAN(RADIANS($I$1))) + $L$1</f>
        <v>19.1760005585099</v>
      </c>
      <c r="E101" s="8" t="n">
        <f aca="false">(( -A101 ) * COS(RADIANS($F$1)) - (B101 - 0) * SIN(RADIANS($F$1))) * $E$1 - ($G$1 * TAN(RADIANS($H$1))) - $J$1</f>
        <v>-937.048875987166</v>
      </c>
    </row>
    <row r="102" customFormat="false" ht="15" hidden="false" customHeight="true" outlineLevel="0" collapsed="false">
      <c r="A102" s="8" t="n">
        <v>0.536217</v>
      </c>
      <c r="B102" s="8" t="n">
        <v>-0.050516</v>
      </c>
      <c r="C102" s="8" t="n">
        <f aca="false">$G$1</f>
        <v>200.000000273727</v>
      </c>
      <c r="D102" s="8" t="n">
        <f aca="false">(( -A102 ) * SIN(RADIANS($F$1)) + (B102 - 0) * COS(RADIANS($F$1))) * $E$1 + ($G$1 * TAN(RADIANS($I$1))) + $L$1</f>
        <v>19.5988409896663</v>
      </c>
      <c r="E102" s="8" t="n">
        <f aca="false">(( -A102 ) * COS(RADIANS($F$1)) - (B102 - 0) * SIN(RADIANS($F$1))) * $E$1 - ($G$1 * TAN(RADIANS($H$1))) - $J$1</f>
        <v>-941.139561003179</v>
      </c>
    </row>
    <row r="103" customFormat="false" ht="15" hidden="false" customHeight="true" outlineLevel="0" collapsed="false">
      <c r="A103" s="8" t="n">
        <v>0.560268</v>
      </c>
      <c r="B103" s="8" t="n">
        <v>-0.048762</v>
      </c>
      <c r="C103" s="8" t="n">
        <f aca="false">$G$1</f>
        <v>200.000000273727</v>
      </c>
      <c r="D103" s="8" t="n">
        <f aca="false">(( -A103 ) * SIN(RADIANS($F$1)) + (B103 - 0) * COS(RADIANS($F$1))) * $E$1 + ($G$1 * TAN(RADIANS($I$1))) + $L$1</f>
        <v>20.0395318715916</v>
      </c>
      <c r="E103" s="8" t="n">
        <f aca="false">(( -A103 ) * COS(RADIANS($F$1)) - (B103 - 0) * SIN(RADIANS($F$1))) * $E$1 - ($G$1 * TAN(RADIANS($H$1))) - $J$1</f>
        <v>-945.215333963425</v>
      </c>
    </row>
    <row r="104" customFormat="false" ht="15" hidden="false" customHeight="true" outlineLevel="0" collapsed="false">
      <c r="A104" s="8" t="n">
        <v>0.584179</v>
      </c>
      <c r="B104" s="8" t="n">
        <v>-0.046912</v>
      </c>
      <c r="C104" s="8" t="n">
        <f aca="false">$G$1</f>
        <v>200.000000273727</v>
      </c>
      <c r="D104" s="8" t="n">
        <f aca="false">(( -A104 ) * SIN(RADIANS($F$1)) + (B104 - 0) * COS(RADIANS($F$1))) * $E$1 + ($G$1 * TAN(RADIANS($I$1))) + $L$1</f>
        <v>20.4957022037903</v>
      </c>
      <c r="E104" s="8" t="n">
        <f aca="false">(( -A104 ) * COS(RADIANS($F$1)) - (B104 - 0) * SIN(RADIANS($F$1))) * $E$1 - ($G$1 * TAN(RADIANS($H$1))) - $J$1</f>
        <v>-949.266751862205</v>
      </c>
    </row>
    <row r="105" customFormat="false" ht="15" hidden="false" customHeight="true" outlineLevel="0" collapsed="false">
      <c r="A105" s="8" t="n">
        <v>0.607892</v>
      </c>
      <c r="B105" s="8" t="n">
        <v>-0.04498</v>
      </c>
      <c r="C105" s="8" t="n">
        <f aca="false">$G$1</f>
        <v>200.000000273727</v>
      </c>
      <c r="D105" s="8" t="n">
        <f aca="false">(( -A105 ) * SIN(RADIANS($F$1)) + (B105 - 0) * COS(RADIANS($F$1))) * $E$1 + ($G$1 * TAN(RADIANS($I$1))) + $L$1</f>
        <v>20.9646293270569</v>
      </c>
      <c r="E105" s="8" t="n">
        <f aca="false">(( -A105 ) * COS(RADIANS($F$1)) - (B105 - 0) * SIN(RADIANS($F$1))) * $E$1 - ($G$1 * TAN(RADIANS($H$1))) - $J$1</f>
        <v>-953.284043766768</v>
      </c>
    </row>
    <row r="106" customFormat="false" ht="15" hidden="false" customHeight="true" outlineLevel="0" collapsed="false">
      <c r="A106" s="8" t="n">
        <v>0.631354</v>
      </c>
      <c r="B106" s="8" t="n">
        <v>-0.042978</v>
      </c>
      <c r="C106" s="8" t="n">
        <f aca="false">$G$1</f>
        <v>200.000000273727</v>
      </c>
      <c r="D106" s="8" t="n">
        <f aca="false">(( -A106 ) * SIN(RADIANS($F$1)) + (B106 - 0) * COS(RADIANS($F$1))) * $E$1 + ($G$1 * TAN(RADIANS($I$1))) + $L$1</f>
        <v>21.4439600396394</v>
      </c>
      <c r="E106" s="8" t="n">
        <f aca="false">(( -A106 ) * COS(RADIANS($F$1)) - (B106 - 0) * SIN(RADIANS($F$1))) * $E$1 - ($G$1 * TAN(RADIANS($H$1))) - $J$1</f>
        <v>-957.258276360737</v>
      </c>
    </row>
    <row r="107" customFormat="false" ht="15" hidden="false" customHeight="true" outlineLevel="0" collapsed="false">
      <c r="A107" s="8" t="n">
        <v>0.654509</v>
      </c>
      <c r="B107" s="8" t="n">
        <v>-0.040917</v>
      </c>
      <c r="C107" s="8" t="n">
        <f aca="false">$G$1</f>
        <v>200.000000273727</v>
      </c>
      <c r="D107" s="8" t="n">
        <f aca="false">(( -A107 ) * SIN(RADIANS($F$1)) + (B107 - 0) * COS(RADIANS($F$1))) * $E$1 + ($G$1 * TAN(RADIANS($I$1))) + $L$1</f>
        <v>21.931493237483</v>
      </c>
      <c r="E107" s="8" t="n">
        <f aca="false">(( -A107 ) * COS(RADIANS($F$1)) - (B107 - 0) * SIN(RADIANS($F$1))) * $E$1 - ($G$1 * TAN(RADIANS($H$1))) - $J$1</f>
        <v>-961.180000705499</v>
      </c>
    </row>
    <row r="108" customFormat="false" ht="15" hidden="false" customHeight="true" outlineLevel="0" collapsed="false">
      <c r="A108" s="8" t="n">
        <v>0.677303</v>
      </c>
      <c r="B108" s="8" t="n">
        <v>-0.038811</v>
      </c>
      <c r="C108" s="8" t="n">
        <f aca="false">$G$1</f>
        <v>200.000000273727</v>
      </c>
      <c r="D108" s="8" t="n">
        <f aca="false">(( -A108 ) * SIN(RADIANS($F$1)) + (B108 - 0) * COS(RADIANS($F$1))) * $E$1 + ($G$1 * TAN(RADIANS($I$1))) + $L$1</f>
        <v>22.4245299930398</v>
      </c>
      <c r="E108" s="8" t="n">
        <f aca="false">(( -A108 ) * COS(RADIANS($F$1)) - (B108 - 0) * SIN(RADIANS($F$1))) * $E$1 - ($G$1 * TAN(RADIANS($H$1))) - $J$1</f>
        <v>-965.040125454064</v>
      </c>
    </row>
    <row r="109" customFormat="false" ht="15" hidden="false" customHeight="true" outlineLevel="0" collapsed="false">
      <c r="A109" s="8" t="n">
        <v>0.699682</v>
      </c>
      <c r="B109" s="8" t="n">
        <v>-0.03667</v>
      </c>
      <c r="C109" s="8" t="n">
        <f aca="false">$G$1</f>
        <v>200.000000273727</v>
      </c>
      <c r="D109" s="8" t="n">
        <f aca="false">(( -A109 ) * SIN(RADIANS($F$1)) + (B109 - 0) * COS(RADIANS($F$1))) * $E$1 + ($G$1 * TAN(RADIANS($I$1))) + $L$1</f>
        <v>22.9210509645246</v>
      </c>
      <c r="E109" s="8" t="n">
        <f aca="false">(( -A109 ) * COS(RADIANS($F$1)) - (B109 - 0) * SIN(RADIANS($F$1))) * $E$1 - ($G$1 * TAN(RADIANS($H$1))) - $J$1</f>
        <v>-968.829535527788</v>
      </c>
    </row>
    <row r="110" customFormat="false" ht="15" hidden="false" customHeight="true" outlineLevel="0" collapsed="false">
      <c r="A110" s="8" t="n">
        <v>0.721596</v>
      </c>
      <c r="B110" s="8" t="n">
        <v>-0.034506</v>
      </c>
      <c r="C110" s="8" t="n">
        <f aca="false">$G$1</f>
        <v>200.000000273727</v>
      </c>
      <c r="D110" s="8" t="n">
        <f aca="false">(( -A110 ) * SIN(RADIANS($F$1)) + (B110 - 0) * COS(RADIANS($F$1))) * $E$1 + ($G$1 * TAN(RADIANS($I$1))) + $L$1</f>
        <v>23.4187207489286</v>
      </c>
      <c r="E110" s="8" t="n">
        <f aca="false">(( -A110 ) * COS(RADIANS($F$1)) - (B110 - 0) * SIN(RADIANS($F$1))) * $E$1 - ($G$1 * TAN(RADIANS($H$1))) - $J$1</f>
        <v>-972.539807299614</v>
      </c>
    </row>
    <row r="111" customFormat="false" ht="15" hidden="false" customHeight="true" outlineLevel="0" collapsed="false">
      <c r="A111" s="8" t="n">
        <v>0.742992</v>
      </c>
      <c r="B111" s="8" t="n">
        <v>-0.032329</v>
      </c>
      <c r="C111" s="8" t="n">
        <f aca="false">$G$1</f>
        <v>200.000000273727</v>
      </c>
      <c r="D111" s="8" t="n">
        <f aca="false">(( -A111 ) * SIN(RADIANS($F$1)) + (B111 - 0) * COS(RADIANS($F$1))) * $E$1 + ($G$1 * TAN(RADIANS($I$1))) + $L$1</f>
        <v>23.9155259373808</v>
      </c>
      <c r="E111" s="8" t="n">
        <f aca="false">(( -A111 ) * COS(RADIANS($F$1)) - (B111 - 0) * SIN(RADIANS($F$1))) * $E$1 - ($G$1 * TAN(RADIANS($H$1))) - $J$1</f>
        <v>-976.161995587337</v>
      </c>
    </row>
    <row r="112" customFormat="false" ht="15" hidden="false" customHeight="true" outlineLevel="0" collapsed="false">
      <c r="A112" s="8" t="n">
        <v>0.76382</v>
      </c>
      <c r="B112" s="8" t="n">
        <v>-0.030152</v>
      </c>
      <c r="C112" s="8" t="n">
        <f aca="false">$G$1</f>
        <v>200.000000273727</v>
      </c>
      <c r="D112" s="8" t="n">
        <f aca="false">(( -A112 ) * SIN(RADIANS($F$1)) + (B112 - 0) * COS(RADIANS($F$1))) * $E$1 + ($G$1 * TAN(RADIANS($I$1))) + $L$1</f>
        <v>24.4089612304318</v>
      </c>
      <c r="E112" s="8" t="n">
        <f aca="false">(( -A112 ) * COS(RADIANS($F$1)) - (B112 - 0) * SIN(RADIANS($F$1))) * $E$1 - ($G$1 * TAN(RADIANS($H$1))) - $J$1</f>
        <v>-979.687682696815</v>
      </c>
    </row>
    <row r="113" customFormat="false" ht="15" hidden="false" customHeight="true" outlineLevel="0" collapsed="false">
      <c r="A113" s="8" t="n">
        <v>0.784032</v>
      </c>
      <c r="B113" s="8" t="n">
        <v>-0.027983</v>
      </c>
      <c r="C113" s="8" t="n">
        <f aca="false">$G$1</f>
        <v>200.000000273727</v>
      </c>
      <c r="D113" s="8" t="n">
        <f aca="false">(( -A113 ) * SIN(RADIANS($F$1)) + (B113 - 0) * COS(RADIANS($F$1))) * $E$1 + ($G$1 * TAN(RADIANS($I$1))) + $L$1</f>
        <v>24.8973826766641</v>
      </c>
      <c r="E113" s="8" t="n">
        <f aca="false">(( -A113 ) * COS(RADIANS($F$1)) - (B113 - 0) * SIN(RADIANS($F$1))) * $E$1 - ($G$1 * TAN(RADIANS($H$1))) - $J$1</f>
        <v>-983.108761062217</v>
      </c>
    </row>
    <row r="114" customFormat="false" ht="15" hidden="false" customHeight="true" outlineLevel="0" collapsed="false">
      <c r="A114" s="8" t="n">
        <v>0.803581</v>
      </c>
      <c r="B114" s="8" t="n">
        <v>-0.025834</v>
      </c>
      <c r="C114" s="8" t="n">
        <f aca="false">$G$1</f>
        <v>200.000000273727</v>
      </c>
      <c r="D114" s="8" t="n">
        <f aca="false">(( -A114 ) * SIN(RADIANS($F$1)) + (B114 - 0) * COS(RADIANS($F$1))) * $E$1 + ($G$1 * TAN(RADIANS($I$1))) + $L$1</f>
        <v>25.3784726718121</v>
      </c>
      <c r="E114" s="8" t="n">
        <f aca="false">(( -A114 ) * COS(RADIANS($F$1)) - (B114 - 0) * SIN(RADIANS($F$1))) * $E$1 - ($G$1 * TAN(RADIANS($H$1))) - $J$1</f>
        <v>-986.41731674581</v>
      </c>
    </row>
    <row r="115" customFormat="false" ht="15" hidden="false" customHeight="true" outlineLevel="0" collapsed="false">
      <c r="A115" s="8" t="n">
        <v>0.822421</v>
      </c>
      <c r="B115" s="8" t="n">
        <v>-0.023714</v>
      </c>
      <c r="C115" s="8" t="n">
        <f aca="false">$G$1</f>
        <v>200.000000273727</v>
      </c>
      <c r="D115" s="8" t="n">
        <f aca="false">(( -A115 ) * SIN(RADIANS($F$1)) + (B115 - 0) * COS(RADIANS($F$1))) * $E$1 + ($G$1 * TAN(RADIANS($I$1))) + $L$1</f>
        <v>25.8504292338465</v>
      </c>
      <c r="E115" s="8" t="n">
        <f aca="false">(( -A115 ) * COS(RADIANS($F$1)) - (B115 - 0) * SIN(RADIANS($F$1))) * $E$1 - ($G$1 * TAN(RADIANS($H$1))) - $J$1</f>
        <v>-989.605587907556</v>
      </c>
    </row>
    <row r="116" customFormat="false" ht="15" hidden="false" customHeight="true" outlineLevel="0" collapsed="false">
      <c r="A116" s="8" t="n">
        <v>0.840508</v>
      </c>
      <c r="B116" s="8" t="n">
        <v>-0.021635</v>
      </c>
      <c r="C116" s="8" t="n">
        <f aca="false">$G$1</f>
        <v>200.000000273727</v>
      </c>
      <c r="D116" s="8" t="n">
        <f aca="false">(( -A116 ) * SIN(RADIANS($F$1)) + (B116 - 0) * COS(RADIANS($F$1))) * $E$1 + ($G$1 * TAN(RADIANS($I$1))) + $L$1</f>
        <v>26.3109525572453</v>
      </c>
      <c r="E116" s="8" t="n">
        <f aca="false">(( -A116 ) * COS(RADIANS($F$1)) - (B116 - 0) * SIN(RADIANS($F$1))) * $E$1 - ($G$1 * TAN(RADIANS($H$1))) - $J$1</f>
        <v>-992.666170299045</v>
      </c>
    </row>
    <row r="117" customFormat="false" ht="15" hidden="false" customHeight="true" outlineLevel="0" collapsed="false">
      <c r="A117" s="8" t="n">
        <v>0.8578</v>
      </c>
      <c r="B117" s="8" t="n">
        <v>-0.019605</v>
      </c>
      <c r="C117" s="8" t="n">
        <f aca="false">$G$1</f>
        <v>200.000000273727</v>
      </c>
      <c r="D117" s="8" t="n">
        <f aca="false">(( -A117 ) * SIN(RADIANS($F$1)) + (B117 - 0) * COS(RADIANS($F$1))) * $E$1 + ($G$1 * TAN(RADIANS($I$1))) + $L$1</f>
        <v>26.7584342880773</v>
      </c>
      <c r="E117" s="8" t="n">
        <f aca="false">(( -A117 ) * COS(RADIANS($F$1)) - (B117 - 0) * SIN(RADIANS($F$1))) * $E$1 - ($G$1 * TAN(RADIANS($H$1))) - $J$1</f>
        <v>-995.591975733087</v>
      </c>
    </row>
    <row r="118" customFormat="false" ht="15" hidden="false" customHeight="true" outlineLevel="0" collapsed="false">
      <c r="A118" s="8" t="n">
        <v>0.874255</v>
      </c>
      <c r="B118" s="8" t="n">
        <v>-0.017635</v>
      </c>
      <c r="C118" s="8" t="n">
        <f aca="false">$G$1</f>
        <v>200.000000273727</v>
      </c>
      <c r="D118" s="8" t="n">
        <f aca="false">(( -A118 ) * SIN(RADIANS($F$1)) + (B118 - 0) * COS(RADIANS($F$1))) * $E$1 + ($G$1 * TAN(RADIANS($I$1))) + $L$1</f>
        <v>27.19075638309</v>
      </c>
      <c r="E118" s="8" t="n">
        <f aca="false">(( -A118 ) * COS(RADIANS($F$1)) - (B118 - 0) * SIN(RADIANS($F$1))) * $E$1 - ($G$1 * TAN(RADIANS($H$1))) - $J$1</f>
        <v>-998.375933821237</v>
      </c>
    </row>
    <row r="119" customFormat="false" ht="15" hidden="false" customHeight="true" outlineLevel="0" collapsed="false">
      <c r="A119" s="8" t="n">
        <v>0.889837</v>
      </c>
      <c r="B119" s="8" t="n">
        <v>-0.015735</v>
      </c>
      <c r="C119" s="8" t="n">
        <f aca="false">$G$1</f>
        <v>200.000000273727</v>
      </c>
      <c r="D119" s="8" t="n">
        <f aca="false">(( -A119 ) * SIN(RADIANS($F$1)) + (B119 - 0) * COS(RADIANS($F$1))) * $E$1 + ($G$1 * TAN(RADIANS($I$1))) + $L$1</f>
        <v>27.6060062929577</v>
      </c>
      <c r="E119" s="8" t="n">
        <f aca="false">(( -A119 ) * COS(RADIANS($F$1)) - (B119 - 0) * SIN(RADIANS($F$1))) * $E$1 - ($G$1 * TAN(RADIANS($H$1))) - $J$1</f>
        <v>-1001.01198762078</v>
      </c>
    </row>
    <row r="120" customFormat="false" ht="15" hidden="false" customHeight="true" outlineLevel="0" collapsed="false">
      <c r="A120" s="8" t="n">
        <v>0.904509</v>
      </c>
      <c r="B120" s="8" t="n">
        <v>-0.013914</v>
      </c>
      <c r="C120" s="8" t="n">
        <f aca="false">$G$1</f>
        <v>200.000000273727</v>
      </c>
      <c r="D120" s="8" t="n">
        <f aca="false">(( -A120 ) * SIN(RADIANS($F$1)) + (B120 - 0) * COS(RADIANS($F$1))) * $E$1 + ($G$1 * TAN(RADIANS($I$1))) + $L$1</f>
        <v>28.0024354318812</v>
      </c>
      <c r="E120" s="8" t="n">
        <f aca="false">(( -A120 ) * COS(RADIANS($F$1)) - (B120 - 0) * SIN(RADIANS($F$1))) * $E$1 - ($G$1 * TAN(RADIANS($H$1))) - $J$1</f>
        <v>-1003.49390435964</v>
      </c>
    </row>
    <row r="121" customFormat="false" ht="15" hidden="false" customHeight="true" outlineLevel="0" collapsed="false">
      <c r="A121" s="8" t="n">
        <v>0.918235</v>
      </c>
      <c r="B121" s="8" t="n">
        <v>-0.012182</v>
      </c>
      <c r="C121" s="8" t="n">
        <f aca="false">$G$1</f>
        <v>200.000000273727</v>
      </c>
      <c r="D121" s="8" t="n">
        <f aca="false">(( -A121 ) * SIN(RADIANS($F$1)) + (B121 - 0) * COS(RADIANS($F$1))) * $E$1 + ($G$1 * TAN(RADIANS($I$1))) + $L$1</f>
        <v>28.3781312505349</v>
      </c>
      <c r="E121" s="8" t="n">
        <f aca="false">(( -A121 ) * COS(RADIANS($F$1)) - (B121 - 0) * SIN(RADIANS($F$1))) * $E$1 - ($G$1 * TAN(RADIANS($H$1))) - $J$1</f>
        <v>-1005.81562709511</v>
      </c>
    </row>
    <row r="122" customFormat="false" ht="15" hidden="false" customHeight="true" outlineLevel="0" collapsed="false">
      <c r="A122" s="8" t="n">
        <v>0.930985</v>
      </c>
      <c r="B122" s="8" t="n">
        <v>-0.010549</v>
      </c>
      <c r="C122" s="8" t="n">
        <f aca="false">$G$1</f>
        <v>200.000000273727</v>
      </c>
      <c r="D122" s="8" t="n">
        <f aca="false">(( -A122 ) * SIN(RADIANS($F$1)) + (B122 - 0) * COS(RADIANS($F$1))) * $E$1 + ($G$1 * TAN(RADIANS($I$1))) + $L$1</f>
        <v>28.7312167970799</v>
      </c>
      <c r="E122" s="8" t="n">
        <f aca="false">(( -A122 ) * COS(RADIANS($F$1)) - (B122 - 0) * SIN(RADIANS($F$1))) * $E$1 - ($G$1 * TAN(RADIANS($H$1))) - $J$1</f>
        <v>-1007.97211826311</v>
      </c>
    </row>
    <row r="123" customFormat="false" ht="15" hidden="false" customHeight="true" outlineLevel="0" collapsed="false">
      <c r="A123" s="8" t="n">
        <v>0.942728</v>
      </c>
      <c r="B123" s="8" t="n">
        <v>-0.009022</v>
      </c>
      <c r="C123" s="8" t="n">
        <f aca="false">$G$1</f>
        <v>200.000000273727</v>
      </c>
      <c r="D123" s="8" t="n">
        <f aca="false">(( -A123 ) * SIN(RADIANS($F$1)) + (B123 - 0) * COS(RADIANS($F$1))) * $E$1 + ($G$1 * TAN(RADIANS($I$1))) + $L$1</f>
        <v>29.0603188760848</v>
      </c>
      <c r="E123" s="8" t="n">
        <f aca="false">(( -A123 ) * COS(RADIANS($F$1)) - (B123 - 0) * SIN(RADIANS($F$1))) * $E$1 - ($G$1 * TAN(RADIANS($H$1))) - $J$1</f>
        <v>-1009.95815260439</v>
      </c>
    </row>
    <row r="124" customFormat="false" ht="15" hidden="false" customHeight="true" outlineLevel="0" collapsed="false">
      <c r="A124" s="8" t="n">
        <v>0.953437</v>
      </c>
      <c r="B124" s="8" t="n">
        <v>-0.007611</v>
      </c>
      <c r="C124" s="8" t="n">
        <f aca="false">$G$1</f>
        <v>200.000000273727</v>
      </c>
      <c r="D124" s="8" t="n">
        <f aca="false">(( -A124 ) * SIN(RADIANS($F$1)) + (B124 - 0) * COS(RADIANS($F$1))) * $E$1 + ($G$1 * TAN(RADIANS($I$1))) + $L$1</f>
        <v>29.3635783344538</v>
      </c>
      <c r="E124" s="8" t="n">
        <f aca="false">(( -A124 ) * COS(RADIANS($F$1)) - (B124 - 0) * SIN(RADIANS($F$1))) * $E$1 - ($G$1 * TAN(RADIANS($H$1))) - $J$1</f>
        <v>-1011.76920224419</v>
      </c>
    </row>
    <row r="125" customFormat="false" ht="15" hidden="false" customHeight="true" outlineLevel="0" collapsed="false">
      <c r="A125" s="8" t="n">
        <v>0.963087</v>
      </c>
      <c r="B125" s="8" t="n">
        <v>-0.006324</v>
      </c>
      <c r="C125" s="8" t="n">
        <f aca="false">$G$1</f>
        <v>200.000000273727</v>
      </c>
      <c r="D125" s="8" t="n">
        <f aca="false">(( -A125 ) * SIN(RADIANS($F$1)) + (B125 - 0) * COS(RADIANS($F$1))) * $E$1 + ($G$1 * TAN(RADIANS($I$1))) + $L$1</f>
        <v>29.6394876778015</v>
      </c>
      <c r="E125" s="8" t="n">
        <f aca="false">(( -A125 ) * COS(RADIANS($F$1)) - (B125 - 0) * SIN(RADIANS($F$1))) * $E$1 - ($G$1 * TAN(RADIANS($H$1))) - $J$1</f>
        <v>-1013.40106723482</v>
      </c>
    </row>
    <row r="126" customFormat="false" ht="15" hidden="false" customHeight="true" outlineLevel="0" collapsed="false">
      <c r="A126" s="8" t="n">
        <v>0.971656</v>
      </c>
      <c r="B126" s="8" t="n">
        <v>-0.005169</v>
      </c>
      <c r="C126" s="8" t="n">
        <f aca="false">$G$1</f>
        <v>200.000000273727</v>
      </c>
      <c r="D126" s="8" t="n">
        <f aca="false">(( -A126 ) * SIN(RADIANS($F$1)) + (B126 - 0) * COS(RADIANS($F$1))) * $E$1 + ($G$1 * TAN(RADIANS($I$1))) + $L$1</f>
        <v>29.8865572104857</v>
      </c>
      <c r="E126" s="8" t="n">
        <f aca="false">(( -A126 ) * COS(RADIANS($F$1)) - (B126 - 0) * SIN(RADIANS($F$1))) * $E$1 - ($G$1 * TAN(RADIANS($H$1))) - $J$1</f>
        <v>-1014.85005731789</v>
      </c>
    </row>
    <row r="127" customFormat="false" ht="15" hidden="false" customHeight="true" outlineLevel="0" collapsed="false">
      <c r="A127" s="8" t="n">
        <v>0.979123</v>
      </c>
      <c r="B127" s="8" t="n">
        <v>-0.004152</v>
      </c>
      <c r="C127" s="8" t="n">
        <f aca="false">$G$1</f>
        <v>200.000000273727</v>
      </c>
      <c r="D127" s="8" t="n">
        <f aca="false">(( -A127 ) * SIN(RADIANS($F$1)) + (B127 - 0) * COS(RADIANS($F$1))) * $E$1 + ($G$1 * TAN(RADIANS($I$1))) + $L$1</f>
        <v>30.1036429626597</v>
      </c>
      <c r="E127" s="8" t="n">
        <f aca="false">(( -A127 ) * COS(RADIANS($F$1)) - (B127 - 0) * SIN(RADIANS($F$1))) * $E$1 - ($G$1 * TAN(RADIANS($H$1))) - $J$1</f>
        <v>-1016.11264026565</v>
      </c>
    </row>
    <row r="128" customFormat="false" ht="15" hidden="false" customHeight="true" outlineLevel="0" collapsed="false">
      <c r="A128" s="8" t="n">
        <v>0.985471</v>
      </c>
      <c r="B128" s="8" t="n">
        <v>-0.00328</v>
      </c>
      <c r="C128" s="8" t="n">
        <f aca="false">$G$1</f>
        <v>200.000000273727</v>
      </c>
      <c r="D128" s="8" t="n">
        <f aca="false">(( -A128 ) * SIN(RADIANS($F$1)) + (B128 - 0) * COS(RADIANS($F$1))) * $E$1 + ($G$1 * TAN(RADIANS($I$1))) + $L$1</f>
        <v>30.2894547996941</v>
      </c>
      <c r="E128" s="8" t="n">
        <f aca="false">(( -A128 ) * COS(RADIANS($F$1)) - (B128 - 0) * SIN(RADIANS($F$1))) * $E$1 - ($G$1 * TAN(RADIANS($H$1))) - $J$1</f>
        <v>-1017.18596936901</v>
      </c>
    </row>
    <row r="129" customFormat="false" ht="15" hidden="false" customHeight="true" outlineLevel="0" collapsed="false">
      <c r="A129" s="8" t="n">
        <v>0.990685</v>
      </c>
      <c r="B129" s="8" t="n">
        <v>-0.00256</v>
      </c>
      <c r="C129" s="8" t="n">
        <f aca="false">$G$1</f>
        <v>200.000000273727</v>
      </c>
      <c r="D129" s="8" t="n">
        <f aca="false">(( -A129 ) * SIN(RADIANS($F$1)) + (B129 - 0) * COS(RADIANS($F$1))) * $E$1 + ($G$1 * TAN(RADIANS($I$1))) + $L$1</f>
        <v>30.4427144527882</v>
      </c>
      <c r="E129" s="8" t="n">
        <f aca="false">(( -A129 ) * COS(RADIANS($F$1)) - (B129 - 0) * SIN(RADIANS($F$1))) * $E$1 - ($G$1 * TAN(RADIANS($H$1))) - $J$1</f>
        <v>-1018.06753771175</v>
      </c>
    </row>
    <row r="130" customFormat="false" ht="15" hidden="false" customHeight="true" outlineLevel="0" collapsed="false">
      <c r="A130" s="8" t="n">
        <v>0.994753</v>
      </c>
      <c r="B130" s="8" t="n">
        <v>-0.001994</v>
      </c>
      <c r="C130" s="8" t="n">
        <f aca="false">$G$1</f>
        <v>200.000000273727</v>
      </c>
      <c r="D130" s="8" t="n">
        <f aca="false">(( -A130 ) * SIN(RADIANS($F$1)) + (B130 - 0) * COS(RADIANS($F$1))) * $E$1 + ($G$1 * TAN(RADIANS($I$1))) + $L$1</f>
        <v>30.5630109340878</v>
      </c>
      <c r="E130" s="8" t="n">
        <f aca="false">(( -A130 ) * COS(RADIANS($F$1)) - (B130 - 0) * SIN(RADIANS($F$1))) * $E$1 - ($G$1 * TAN(RADIANS($H$1))) - $J$1</f>
        <v>-1018.75531840242</v>
      </c>
    </row>
    <row r="131" customFormat="false" ht="15" hidden="false" customHeight="true" outlineLevel="0" collapsed="false">
      <c r="A131" s="8" t="n">
        <v>0.997666</v>
      </c>
      <c r="B131" s="8" t="n">
        <v>-0.001587</v>
      </c>
      <c r="C131" s="8" t="n">
        <f aca="false">$G$1</f>
        <v>200.000000273727</v>
      </c>
      <c r="D131" s="8" t="n">
        <f aca="false">(( -A131 ) * SIN(RADIANS($F$1)) + (B131 - 0) * COS(RADIANS($F$1))) * $E$1 + ($G$1 * TAN(RADIANS($I$1))) + $L$1</f>
        <v>30.6494413651599</v>
      </c>
      <c r="E131" s="8" t="n">
        <f aca="false">(( -A131 ) * COS(RADIANS($F$1)) - (B131 - 0) * SIN(RADIANS($F$1))) * $E$1 - ($G$1 * TAN(RADIANS($H$1))) - $J$1</f>
        <v>-1019.24781203762</v>
      </c>
    </row>
    <row r="132" customFormat="false" ht="15" hidden="false" customHeight="true" outlineLevel="0" collapsed="false">
      <c r="A132" s="8" t="n">
        <v>0.999416</v>
      </c>
      <c r="B132" s="8" t="n">
        <v>-0.001342</v>
      </c>
      <c r="C132" s="8" t="n">
        <f aca="false">$G$1</f>
        <v>200.000000273727</v>
      </c>
      <c r="D132" s="8" t="n">
        <f aca="false">(( -A132 ) * SIN(RADIANS($F$1)) + (B132 - 0) * COS(RADIANS($F$1))) * $E$1 + ($G$1 * TAN(RADIANS($I$1))) + $L$1</f>
        <v>30.7014485933674</v>
      </c>
      <c r="E132" s="8" t="n">
        <f aca="false">(( -A132 ) * COS(RADIANS($F$1)) - (B132 - 0) * SIN(RADIANS($F$1))) * $E$1 - ($G$1 * TAN(RADIANS($H$1))) - $J$1</f>
        <v>-1019.54367724459</v>
      </c>
    </row>
    <row r="133" customFormat="false" ht="15" hidden="false" customHeight="true" outlineLevel="0" collapsed="false">
      <c r="A133" s="8" t="n">
        <v>1</v>
      </c>
      <c r="B133" s="9" t="n">
        <v>0</v>
      </c>
      <c r="C133" s="8" t="n">
        <f aca="false">$G$1</f>
        <v>200.000000273727</v>
      </c>
      <c r="D133" s="8" t="n">
        <f aca="false">(( -A133 ) * SIN(RADIANS($F$1)) + (B133 - 0) * COS(RADIANS($F$1))) * $E$1 + ($G$1 * TAN(RADIANS($I$1))) + $L$1</f>
        <v>30.9329144386458</v>
      </c>
      <c r="E133" s="8" t="n">
        <f aca="false">(( -A133 ) * COS(RADIANS($F$1)) - (B133 - 0) * SIN(RADIANS($F$1))) * $E$1 - ($G$1 * TAN(RADIANS($H$1))) - $J$1</f>
        <v>-1019.6349347947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65</v>
      </c>
      <c r="E1" s="6" t="n">
        <v>170.000001420418</v>
      </c>
      <c r="F1" s="6" t="n">
        <v>0</v>
      </c>
      <c r="G1" s="6" t="n">
        <v>0</v>
      </c>
      <c r="H1" s="6" t="n">
        <v>21.8014095</v>
      </c>
      <c r="J1" s="6" t="n">
        <v>849.738493863088</v>
      </c>
      <c r="K1" s="6" t="n">
        <v>0</v>
      </c>
      <c r="L1" s="6" t="n">
        <v>25</v>
      </c>
    </row>
    <row r="2" customFormat="false" ht="15" hidden="false" customHeight="true" outlineLevel="0" collapsed="false">
      <c r="A2" s="7" t="s">
        <v>50</v>
      </c>
      <c r="B2" s="7" t="s">
        <v>51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J2" s="7" t="s">
        <v>59</v>
      </c>
      <c r="K2" s="7" t="s">
        <v>66</v>
      </c>
      <c r="L2" s="7" t="s">
        <v>60</v>
      </c>
    </row>
    <row r="3" customFormat="false" ht="15" hidden="false" customHeight="true" outlineLevel="0" collapsed="false">
      <c r="A3" s="8" t="n">
        <v>1</v>
      </c>
      <c r="B3" s="9" t="n">
        <v>0</v>
      </c>
      <c r="C3" s="8" t="n">
        <f aca="false">B3*$E$1</f>
        <v>0</v>
      </c>
      <c r="D3" s="8" t="n">
        <f aca="false">$G$1+$K$1+$L$1</f>
        <v>25</v>
      </c>
      <c r="E3" s="8" t="n">
        <f aca="false">-A3*$E$1-($G$1*TAN(RADIANS($H$1)))-$J$1</f>
        <v>-1019.73849528351</v>
      </c>
      <c r="N3" s="7" t="s">
        <v>61</v>
      </c>
    </row>
    <row r="4" customFormat="false" ht="15" hidden="false" customHeight="true" outlineLevel="0" collapsed="false">
      <c r="A4" s="8" t="n">
        <v>0.999416</v>
      </c>
      <c r="B4" s="8" t="n">
        <v>0.001342</v>
      </c>
      <c r="C4" s="8" t="n">
        <f aca="false">B4*$E$1</f>
        <v>0.228140001906201</v>
      </c>
      <c r="D4" s="8" t="n">
        <f aca="false">$G$1+$K$1+$L$1</f>
        <v>25</v>
      </c>
      <c r="E4" s="8" t="n">
        <f aca="false">-A4*$E$1-($G$1*TAN(RADIANS($H$1)))-$J$1</f>
        <v>-1019.63921528268</v>
      </c>
      <c r="N4" s="7" t="s">
        <v>62</v>
      </c>
    </row>
    <row r="5" customFormat="false" ht="15" hidden="false" customHeight="true" outlineLevel="0" collapsed="false">
      <c r="A5" s="8" t="n">
        <v>0.997666</v>
      </c>
      <c r="B5" s="8" t="n">
        <v>0.001587</v>
      </c>
      <c r="C5" s="8" t="n">
        <f aca="false">B5*$E$1</f>
        <v>0.269790002254203</v>
      </c>
      <c r="D5" s="8" t="n">
        <f aca="false">$G$1+$K$1+$L$1</f>
        <v>25</v>
      </c>
      <c r="E5" s="8" t="n">
        <f aca="false">-A5*$E$1-($G$1*TAN(RADIANS($H$1)))-$J$1</f>
        <v>-1019.34171528019</v>
      </c>
    </row>
    <row r="6" customFormat="false" ht="15" hidden="false" customHeight="true" outlineLevel="0" collapsed="false">
      <c r="A6" s="8" t="n">
        <v>0.994753</v>
      </c>
      <c r="B6" s="8" t="n">
        <v>0.001994</v>
      </c>
      <c r="C6" s="8" t="n">
        <f aca="false">B6*$E$1</f>
        <v>0.338980002832314</v>
      </c>
      <c r="D6" s="8" t="n">
        <f aca="false">$G$1+$K$1+$L$1</f>
        <v>25</v>
      </c>
      <c r="E6" s="8" t="n">
        <f aca="false">-A6*$E$1-($G$1*TAN(RADIANS($H$1)))-$J$1</f>
        <v>-1018.84650527605</v>
      </c>
    </row>
    <row r="7" customFormat="false" ht="15" hidden="false" customHeight="true" outlineLevel="0" collapsed="false">
      <c r="A7" s="8" t="n">
        <v>0.990685</v>
      </c>
      <c r="B7" s="8" t="n">
        <v>0.00256</v>
      </c>
      <c r="C7" s="8" t="n">
        <f aca="false">B7*$E$1</f>
        <v>0.43520000363627</v>
      </c>
      <c r="D7" s="8" t="n">
        <f aca="false">$G$1+$K$1+$L$1</f>
        <v>25</v>
      </c>
      <c r="E7" s="8" t="n">
        <f aca="false">-A7*$E$1-($G$1*TAN(RADIANS($H$1)))-$J$1</f>
        <v>-1018.15494527027</v>
      </c>
    </row>
    <row r="8" customFormat="false" ht="15" hidden="false" customHeight="true" outlineLevel="0" collapsed="false">
      <c r="A8" s="8" t="n">
        <v>0.985471</v>
      </c>
      <c r="B8" s="8" t="n">
        <v>0.00328</v>
      </c>
      <c r="C8" s="8" t="n">
        <f aca="false">B8*$E$1</f>
        <v>0.557600004658971</v>
      </c>
      <c r="D8" s="8" t="n">
        <f aca="false">$G$1+$K$1+$L$1</f>
        <v>25</v>
      </c>
      <c r="E8" s="8" t="n">
        <f aca="false">-A8*$E$1-($G$1*TAN(RADIANS($H$1)))-$J$1</f>
        <v>-1017.26856526287</v>
      </c>
    </row>
    <row r="9" customFormat="false" ht="15" hidden="false" customHeight="true" outlineLevel="0" collapsed="false">
      <c r="A9" s="8" t="n">
        <v>0.979123</v>
      </c>
      <c r="B9" s="8" t="n">
        <v>0.004152</v>
      </c>
      <c r="C9" s="8" t="n">
        <f aca="false">B9*$E$1</f>
        <v>0.705840005897576</v>
      </c>
      <c r="D9" s="8" t="n">
        <f aca="false">$G$1+$K$1+$L$1</f>
        <v>25</v>
      </c>
      <c r="E9" s="8" t="n">
        <f aca="false">-A9*$E$1-($G$1*TAN(RADIANS($H$1)))-$J$1</f>
        <v>-1016.18940525385</v>
      </c>
    </row>
    <row r="10" customFormat="false" ht="15" hidden="false" customHeight="true" outlineLevel="0" collapsed="false">
      <c r="A10" s="8" t="n">
        <v>0.971656</v>
      </c>
      <c r="B10" s="8" t="n">
        <v>0.005169</v>
      </c>
      <c r="C10" s="8" t="n">
        <f aca="false">B10*$E$1</f>
        <v>0.878730007342141</v>
      </c>
      <c r="D10" s="8" t="n">
        <f aca="false">$G$1+$K$1+$L$1</f>
        <v>25</v>
      </c>
      <c r="E10" s="8" t="n">
        <f aca="false">-A10*$E$1-($G$1*TAN(RADIANS($H$1)))-$J$1</f>
        <v>-1014.92001524325</v>
      </c>
    </row>
    <row r="11" customFormat="false" ht="15" hidden="false" customHeight="true" outlineLevel="0" collapsed="false">
      <c r="A11" s="8" t="n">
        <v>0.963087</v>
      </c>
      <c r="B11" s="8" t="n">
        <v>0.006324</v>
      </c>
      <c r="C11" s="8" t="n">
        <f aca="false">B11*$E$1</f>
        <v>1.07508000898272</v>
      </c>
      <c r="D11" s="8" t="n">
        <f aca="false">$G$1+$K$1+$L$1</f>
        <v>25</v>
      </c>
      <c r="E11" s="8" t="n">
        <f aca="false">-A11*$E$1-($G$1*TAN(RADIANS($H$1)))-$J$1</f>
        <v>-1013.46328523107</v>
      </c>
    </row>
    <row r="12" customFormat="false" ht="15" hidden="false" customHeight="true" outlineLevel="0" collapsed="false">
      <c r="A12" s="8" t="n">
        <v>0.953437</v>
      </c>
      <c r="B12" s="8" t="n">
        <v>0.007611</v>
      </c>
      <c r="C12" s="8" t="n">
        <f aca="false">B12*$E$1</f>
        <v>1.2938700108108</v>
      </c>
      <c r="D12" s="8" t="n">
        <f aca="false">$G$1+$K$1+$L$1</f>
        <v>25</v>
      </c>
      <c r="E12" s="8" t="n">
        <f aca="false">-A12*$E$1-($G$1*TAN(RADIANS($H$1)))-$J$1</f>
        <v>-1011.82278521737</v>
      </c>
    </row>
    <row r="13" customFormat="false" ht="15" hidden="false" customHeight="true" outlineLevel="0" collapsed="false">
      <c r="A13" s="8" t="n">
        <v>0.942728</v>
      </c>
      <c r="B13" s="8" t="n">
        <v>0.009022</v>
      </c>
      <c r="C13" s="8" t="n">
        <f aca="false">B13*$E$1</f>
        <v>1.53374001281501</v>
      </c>
      <c r="D13" s="8" t="n">
        <f aca="false">$G$1+$K$1+$L$1</f>
        <v>25</v>
      </c>
      <c r="E13" s="8" t="n">
        <f aca="false">-A13*$E$1-($G$1*TAN(RADIANS($H$1)))-$J$1</f>
        <v>-1010.00225520216</v>
      </c>
    </row>
    <row r="14" customFormat="false" ht="15" hidden="false" customHeight="true" outlineLevel="0" collapsed="false">
      <c r="A14" s="8" t="n">
        <v>0.930985</v>
      </c>
      <c r="B14" s="8" t="n">
        <v>0.010549</v>
      </c>
      <c r="C14" s="8" t="n">
        <f aca="false">B14*$E$1</f>
        <v>1.79333001498399</v>
      </c>
      <c r="D14" s="8" t="n">
        <f aca="false">$G$1+$K$1+$L$1</f>
        <v>25</v>
      </c>
      <c r="E14" s="8" t="n">
        <f aca="false">-A14*$E$1-($G$1*TAN(RADIANS($H$1)))-$J$1</f>
        <v>-1008.00594518548</v>
      </c>
    </row>
    <row r="15" customFormat="false" ht="15" hidden="false" customHeight="true" outlineLevel="0" collapsed="false">
      <c r="A15" s="8" t="n">
        <v>0.918235</v>
      </c>
      <c r="B15" s="8" t="n">
        <v>0.012182</v>
      </c>
      <c r="C15" s="8" t="n">
        <f aca="false">B15*$E$1</f>
        <v>2.07094001730353</v>
      </c>
      <c r="D15" s="8" t="n">
        <f aca="false">$G$1+$K$1+$L$1</f>
        <v>25</v>
      </c>
      <c r="E15" s="8" t="n">
        <f aca="false">-A15*$E$1-($G$1*TAN(RADIANS($H$1)))-$J$1</f>
        <v>-1005.83844516737</v>
      </c>
    </row>
    <row r="16" customFormat="false" ht="15" hidden="false" customHeight="true" outlineLevel="0" collapsed="false">
      <c r="A16" s="8" t="n">
        <v>0.904509</v>
      </c>
      <c r="B16" s="8" t="n">
        <v>0.013914</v>
      </c>
      <c r="C16" s="8" t="n">
        <f aca="false">B16*$E$1</f>
        <v>2.3653800197637</v>
      </c>
      <c r="D16" s="8" t="n">
        <f aca="false">$G$1+$K$1+$L$1</f>
        <v>25</v>
      </c>
      <c r="E16" s="8" t="n">
        <f aca="false">-A16*$E$1-($G$1*TAN(RADIANS($H$1)))-$J$1</f>
        <v>-1003.50502514787</v>
      </c>
    </row>
    <row r="17" customFormat="false" ht="15" hidden="false" customHeight="true" outlineLevel="0" collapsed="false">
      <c r="A17" s="8" t="n">
        <v>0.889837</v>
      </c>
      <c r="B17" s="8" t="n">
        <v>0.015735</v>
      </c>
      <c r="C17" s="8" t="n">
        <f aca="false">B17*$E$1</f>
        <v>2.67495002235028</v>
      </c>
      <c r="D17" s="8" t="n">
        <f aca="false">$G$1+$K$1+$L$1</f>
        <v>25</v>
      </c>
      <c r="E17" s="8" t="n">
        <f aca="false">-A17*$E$1-($G$1*TAN(RADIANS($H$1)))-$J$1</f>
        <v>-1001.01078512703</v>
      </c>
    </row>
    <row r="18" customFormat="false" ht="15" hidden="false" customHeight="true" outlineLevel="0" collapsed="false">
      <c r="A18" s="8" t="n">
        <v>0.874255</v>
      </c>
      <c r="B18" s="8" t="n">
        <v>0.017635</v>
      </c>
      <c r="C18" s="8" t="n">
        <f aca="false">B18*$E$1</f>
        <v>2.99795002504907</v>
      </c>
      <c r="D18" s="8" t="n">
        <f aca="false">$G$1+$K$1+$L$1</f>
        <v>25</v>
      </c>
      <c r="E18" s="8" t="n">
        <f aca="false">-A18*$E$1-($G$1*TAN(RADIANS($H$1)))-$J$1</f>
        <v>-998.361845104896</v>
      </c>
    </row>
    <row r="19" customFormat="false" ht="15" hidden="false" customHeight="true" outlineLevel="0" collapsed="false">
      <c r="A19" s="8" t="n">
        <v>0.8578</v>
      </c>
      <c r="B19" s="8" t="n">
        <v>0.019605</v>
      </c>
      <c r="C19" s="8" t="n">
        <f aca="false">B19*$E$1</f>
        <v>3.3328500278473</v>
      </c>
      <c r="D19" s="8" t="n">
        <f aca="false">$G$1+$K$1+$L$1</f>
        <v>25</v>
      </c>
      <c r="E19" s="8" t="n">
        <f aca="false">-A19*$E$1-($G$1*TAN(RADIANS($H$1)))-$J$1</f>
        <v>-995.564495081523</v>
      </c>
    </row>
    <row r="20" customFormat="false" ht="15" hidden="false" customHeight="true" outlineLevel="0" collapsed="false">
      <c r="A20" s="8" t="n">
        <v>0.840508</v>
      </c>
      <c r="B20" s="8" t="n">
        <v>0.021635</v>
      </c>
      <c r="C20" s="8" t="n">
        <f aca="false">B20*$E$1</f>
        <v>3.67795003073074</v>
      </c>
      <c r="D20" s="8" t="n">
        <f aca="false">$G$1+$K$1+$L$1</f>
        <v>25</v>
      </c>
      <c r="E20" s="8" t="n">
        <f aca="false">-A20*$E$1-($G$1*TAN(RADIANS($H$1)))-$J$1</f>
        <v>-992.624855056961</v>
      </c>
    </row>
    <row r="21" customFormat="false" ht="15" hidden="false" customHeight="true" outlineLevel="0" collapsed="false">
      <c r="A21" s="8" t="n">
        <v>0.822421</v>
      </c>
      <c r="B21" s="8" t="n">
        <v>0.023714</v>
      </c>
      <c r="C21" s="8" t="n">
        <f aca="false">B21*$E$1</f>
        <v>4.03138003368379</v>
      </c>
      <c r="D21" s="8" t="n">
        <f aca="false">$G$1+$K$1+$L$1</f>
        <v>25</v>
      </c>
      <c r="E21" s="8" t="n">
        <f aca="false">-A21*$E$1-($G$1*TAN(RADIANS($H$1)))-$J$1</f>
        <v>-989.55006503127</v>
      </c>
    </row>
    <row r="22" customFormat="false" ht="15" hidden="false" customHeight="true" outlineLevel="0" collapsed="false">
      <c r="A22" s="8" t="n">
        <v>0.803581</v>
      </c>
      <c r="B22" s="8" t="n">
        <v>0.025834</v>
      </c>
      <c r="C22" s="8" t="n">
        <f aca="false">B22*$E$1</f>
        <v>4.39178003669508</v>
      </c>
      <c r="D22" s="8" t="n">
        <f aca="false">$G$1+$K$1+$L$1</f>
        <v>25</v>
      </c>
      <c r="E22" s="8" t="n">
        <f aca="false">-A22*$E$1-($G$1*TAN(RADIANS($H$1)))-$J$1</f>
        <v>-986.347265004509</v>
      </c>
    </row>
    <row r="23" customFormat="false" ht="15" hidden="false" customHeight="true" outlineLevel="0" collapsed="false">
      <c r="A23" s="8" t="n">
        <v>0.784032</v>
      </c>
      <c r="B23" s="8" t="n">
        <v>0.027983</v>
      </c>
      <c r="C23" s="8" t="n">
        <f aca="false">B23*$E$1</f>
        <v>4.75711003974756</v>
      </c>
      <c r="D23" s="8" t="n">
        <f aca="false">$G$1+$K$1+$L$1</f>
        <v>25</v>
      </c>
      <c r="E23" s="8" t="n">
        <f aca="false">-A23*$E$1-($G$1*TAN(RADIANS($H$1)))-$J$1</f>
        <v>-983.023934976741</v>
      </c>
    </row>
    <row r="24" customFormat="false" ht="15" hidden="false" customHeight="true" outlineLevel="0" collapsed="false">
      <c r="A24" s="8" t="n">
        <v>0.76382</v>
      </c>
      <c r="B24" s="8" t="n">
        <v>0.030152</v>
      </c>
      <c r="C24" s="8" t="n">
        <f aca="false">B24*$E$1</f>
        <v>5.12584004282844</v>
      </c>
      <c r="D24" s="8" t="n">
        <f aca="false">$G$1+$K$1+$L$1</f>
        <v>25</v>
      </c>
      <c r="E24" s="8" t="n">
        <f aca="false">-A24*$E$1-($G$1*TAN(RADIANS($H$1)))-$J$1</f>
        <v>-979.587894948032</v>
      </c>
    </row>
    <row r="25" customFormat="false" ht="15" hidden="false" customHeight="true" outlineLevel="0" collapsed="false">
      <c r="A25" s="8" t="n">
        <v>0.742992</v>
      </c>
      <c r="B25" s="8" t="n">
        <v>0.032329</v>
      </c>
      <c r="C25" s="8" t="n">
        <f aca="false">B25*$E$1</f>
        <v>5.49593004592069</v>
      </c>
      <c r="D25" s="8" t="n">
        <f aca="false">$G$1+$K$1+$L$1</f>
        <v>25</v>
      </c>
      <c r="E25" s="8" t="n">
        <f aca="false">-A25*$E$1-($G$1*TAN(RADIANS($H$1)))-$J$1</f>
        <v>-976.047134918447</v>
      </c>
    </row>
    <row r="26" customFormat="false" ht="15" hidden="false" customHeight="true" outlineLevel="0" collapsed="false">
      <c r="A26" s="8" t="n">
        <v>0.721596</v>
      </c>
      <c r="B26" s="8" t="n">
        <v>0.034506</v>
      </c>
      <c r="C26" s="8" t="n">
        <f aca="false">B26*$E$1</f>
        <v>5.86602004901294</v>
      </c>
      <c r="D26" s="8" t="n">
        <f aca="false">$G$1+$K$1+$L$1</f>
        <v>25</v>
      </c>
      <c r="E26" s="8" t="n">
        <f aca="false">-A26*$E$1-($G$1*TAN(RADIANS($H$1)))-$J$1</f>
        <v>-972.409814888056</v>
      </c>
    </row>
    <row r="27" customFormat="false" ht="15" hidden="false" customHeight="true" outlineLevel="0" collapsed="false">
      <c r="A27" s="8" t="n">
        <v>0.699682</v>
      </c>
      <c r="B27" s="8" t="n">
        <v>0.03667</v>
      </c>
      <c r="C27" s="8" t="n">
        <f aca="false">B27*$E$1</f>
        <v>6.23390005208673</v>
      </c>
      <c r="D27" s="8" t="n">
        <f aca="false">$G$1+$K$1+$L$1</f>
        <v>25</v>
      </c>
      <c r="E27" s="8" t="n">
        <f aca="false">-A27*$E$1-($G$1*TAN(RADIANS($H$1)))-$J$1</f>
        <v>-968.684434856929</v>
      </c>
    </row>
    <row r="28" customFormat="false" ht="15" hidden="false" customHeight="true" outlineLevel="0" collapsed="false">
      <c r="A28" s="8" t="n">
        <v>0.677303</v>
      </c>
      <c r="B28" s="8" t="n">
        <v>0.038811</v>
      </c>
      <c r="C28" s="8" t="n">
        <f aca="false">B28*$E$1</f>
        <v>6.59787005512784</v>
      </c>
      <c r="D28" s="8" t="n">
        <f aca="false">$G$1+$K$1+$L$1</f>
        <v>25</v>
      </c>
      <c r="E28" s="8" t="n">
        <f aca="false">-A28*$E$1-($G$1*TAN(RADIANS($H$1)))-$J$1</f>
        <v>-964.880004825141</v>
      </c>
    </row>
    <row r="29" customFormat="false" ht="15" hidden="false" customHeight="true" outlineLevel="0" collapsed="false">
      <c r="A29" s="8" t="n">
        <v>0.654509</v>
      </c>
      <c r="B29" s="8" t="n">
        <v>0.040917</v>
      </c>
      <c r="C29" s="8" t="n">
        <f aca="false">B29*$E$1</f>
        <v>6.95589005811924</v>
      </c>
      <c r="D29" s="8" t="n">
        <f aca="false">$G$1+$K$1+$L$1</f>
        <v>25</v>
      </c>
      <c r="E29" s="8" t="n">
        <f aca="false">-A29*$E$1-($G$1*TAN(RADIANS($H$1)))-$J$1</f>
        <v>-961.005024792764</v>
      </c>
    </row>
    <row r="30" customFormat="false" ht="15" hidden="false" customHeight="true" outlineLevel="0" collapsed="false">
      <c r="A30" s="8" t="n">
        <v>0.631354</v>
      </c>
      <c r="B30" s="8" t="n">
        <v>0.042978</v>
      </c>
      <c r="C30" s="8" t="n">
        <f aca="false">B30*$E$1</f>
        <v>7.30626006104673</v>
      </c>
      <c r="D30" s="8" t="n">
        <f aca="false">$G$1+$K$1+$L$1</f>
        <v>25</v>
      </c>
      <c r="E30" s="8" t="n">
        <f aca="false">-A30*$E$1-($G$1*TAN(RADIANS($H$1)))-$J$1</f>
        <v>-957.068674759875</v>
      </c>
    </row>
    <row r="31" customFormat="false" ht="15" hidden="false" customHeight="true" outlineLevel="0" collapsed="false">
      <c r="A31" s="8" t="n">
        <v>0.607892</v>
      </c>
      <c r="B31" s="8" t="n">
        <v>0.04498</v>
      </c>
      <c r="C31" s="8" t="n">
        <f aca="false">B31*$E$1</f>
        <v>7.6466000638904</v>
      </c>
      <c r="D31" s="8" t="n">
        <f aca="false">$G$1+$K$1+$L$1</f>
        <v>25</v>
      </c>
      <c r="E31" s="8" t="n">
        <f aca="false">-A31*$E$1-($G$1*TAN(RADIANS($H$1)))-$J$1</f>
        <v>-953.080134726549</v>
      </c>
    </row>
    <row r="32" customFormat="false" ht="15" hidden="false" customHeight="true" outlineLevel="0" collapsed="false">
      <c r="A32" s="8" t="n">
        <v>0.584179</v>
      </c>
      <c r="B32" s="8" t="n">
        <v>0.046912</v>
      </c>
      <c r="C32" s="8" t="n">
        <f aca="false">B32*$E$1</f>
        <v>7.97504006663465</v>
      </c>
      <c r="D32" s="8" t="n">
        <f aca="false">$G$1+$K$1+$L$1</f>
        <v>25</v>
      </c>
      <c r="E32" s="8" t="n">
        <f aca="false">-A32*$E$1-($G$1*TAN(RADIANS($H$1)))-$J$1</f>
        <v>-949.048924692866</v>
      </c>
    </row>
    <row r="33" customFormat="false" ht="15" hidden="false" customHeight="true" outlineLevel="0" collapsed="false">
      <c r="A33" s="8" t="n">
        <v>0.560268</v>
      </c>
      <c r="B33" s="8" t="n">
        <v>0.048762</v>
      </c>
      <c r="C33" s="8" t="n">
        <f aca="false">B33*$E$1</f>
        <v>8.28954006926242</v>
      </c>
      <c r="D33" s="8" t="n">
        <f aca="false">$G$1+$K$1+$L$1</f>
        <v>25</v>
      </c>
      <c r="E33" s="8" t="n">
        <f aca="false">-A33*$E$1-($G$1*TAN(RADIANS($H$1)))-$J$1</f>
        <v>-944.984054658903</v>
      </c>
    </row>
    <row r="34" customFormat="false" ht="15" hidden="false" customHeight="true" outlineLevel="0" collapsed="false">
      <c r="A34" s="8" t="n">
        <v>0.536217</v>
      </c>
      <c r="B34" s="8" t="n">
        <v>0.050516</v>
      </c>
      <c r="C34" s="8" t="n">
        <f aca="false">B34*$E$1</f>
        <v>8.58772007175383</v>
      </c>
      <c r="D34" s="8" t="n">
        <f aca="false">$G$1+$K$1+$L$1</f>
        <v>25</v>
      </c>
      <c r="E34" s="8" t="n">
        <f aca="false">-A34*$E$1-($G$1*TAN(RADIANS($H$1)))-$J$1</f>
        <v>-940.89538462474</v>
      </c>
    </row>
    <row r="35" customFormat="false" ht="15" hidden="false" customHeight="true" outlineLevel="0" collapsed="false">
      <c r="A35" s="8" t="n">
        <v>0.512082</v>
      </c>
      <c r="B35" s="8" t="n">
        <v>0.052162</v>
      </c>
      <c r="C35" s="8" t="n">
        <f aca="false">B35*$E$1</f>
        <v>8.86754007409184</v>
      </c>
      <c r="D35" s="8" t="n">
        <f aca="false">$G$1+$K$1+$L$1</f>
        <v>25</v>
      </c>
      <c r="E35" s="8" t="n">
        <f aca="false">-A35*$E$1-($G$1*TAN(RADIANS($H$1)))-$J$1</f>
        <v>-936.792434590459</v>
      </c>
    </row>
    <row r="36" customFormat="false" ht="15" hidden="false" customHeight="true" outlineLevel="0" collapsed="false">
      <c r="A36" s="8" t="n">
        <v>0.487918</v>
      </c>
      <c r="B36" s="8" t="n">
        <v>0.053687</v>
      </c>
      <c r="C36" s="8" t="n">
        <f aca="false">B36*$E$1</f>
        <v>9.12679007625798</v>
      </c>
      <c r="D36" s="8" t="n">
        <f aca="false">$G$1+$K$1+$L$1</f>
        <v>25</v>
      </c>
      <c r="E36" s="8" t="n">
        <f aca="false">-A36*$E$1-($G$1*TAN(RADIANS($H$1)))-$J$1</f>
        <v>-932.684554556136</v>
      </c>
    </row>
    <row r="37" customFormat="false" ht="15" hidden="false" customHeight="true" outlineLevel="0" collapsed="false">
      <c r="A37" s="8" t="n">
        <v>0.463783</v>
      </c>
      <c r="B37" s="8" t="n">
        <v>0.055077</v>
      </c>
      <c r="C37" s="8" t="n">
        <f aca="false">B37*$E$1</f>
        <v>9.36309007823236</v>
      </c>
      <c r="D37" s="8" t="n">
        <f aca="false">$G$1+$K$1+$L$1</f>
        <v>25</v>
      </c>
      <c r="E37" s="8" t="n">
        <f aca="false">-A37*$E$1-($G$1*TAN(RADIANS($H$1)))-$J$1</f>
        <v>-928.581604521854</v>
      </c>
    </row>
    <row r="38" customFormat="false" ht="15" hidden="false" customHeight="true" outlineLevel="0" collapsed="false">
      <c r="A38" s="8" t="n">
        <v>0.439732</v>
      </c>
      <c r="B38" s="8" t="n">
        <v>0.05632</v>
      </c>
      <c r="C38" s="8" t="n">
        <f aca="false">B38*$E$1</f>
        <v>9.57440007999794</v>
      </c>
      <c r="D38" s="8" t="n">
        <f aca="false">$G$1+$K$1+$L$1</f>
        <v>25</v>
      </c>
      <c r="E38" s="8" t="n">
        <f aca="false">-A38*$E$1-($G$1*TAN(RADIANS($H$1)))-$J$1</f>
        <v>-924.492934487691</v>
      </c>
    </row>
    <row r="39" customFormat="false" ht="15" hidden="false" customHeight="true" outlineLevel="0" collapsed="false">
      <c r="A39" s="8" t="n">
        <v>0.415822</v>
      </c>
      <c r="B39" s="8" t="n">
        <v>0.057403</v>
      </c>
      <c r="C39" s="8" t="n">
        <f aca="false">B39*$E$1</f>
        <v>9.75851008153625</v>
      </c>
      <c r="D39" s="8" t="n">
        <f aca="false">$G$1+$K$1+$L$1</f>
        <v>25</v>
      </c>
      <c r="E39" s="8" t="n">
        <f aca="false">-A39*$E$1-($G$1*TAN(RADIANS($H$1)))-$J$1</f>
        <v>-920.428234453729</v>
      </c>
    </row>
    <row r="40" customFormat="false" ht="15" hidden="false" customHeight="true" outlineLevel="0" collapsed="false">
      <c r="A40" s="8" t="n">
        <v>0.392108</v>
      </c>
      <c r="B40" s="8" t="n">
        <v>0.058314</v>
      </c>
      <c r="C40" s="8" t="n">
        <f aca="false">B40*$E$1</f>
        <v>9.91338008283026</v>
      </c>
      <c r="D40" s="8" t="n">
        <f aca="false">$G$1+$K$1+$L$1</f>
        <v>25</v>
      </c>
      <c r="E40" s="8" t="n">
        <f aca="false">-A40*$E$1-($G$1*TAN(RADIANS($H$1)))-$J$1</f>
        <v>-916.396854420045</v>
      </c>
    </row>
    <row r="41" customFormat="false" ht="15" hidden="false" customHeight="true" outlineLevel="0" collapsed="false">
      <c r="A41" s="8" t="n">
        <v>0.368646</v>
      </c>
      <c r="B41" s="8" t="n">
        <v>0.059042</v>
      </c>
      <c r="C41" s="8" t="n">
        <f aca="false">B41*$E$1</f>
        <v>10.0371400838643</v>
      </c>
      <c r="D41" s="8" t="n">
        <f aca="false">$G$1+$K$1+$L$1</f>
        <v>25</v>
      </c>
      <c r="E41" s="8" t="n">
        <f aca="false">-A41*$E$1-($G$1*TAN(RADIANS($H$1)))-$J$1</f>
        <v>-912.408314386719</v>
      </c>
    </row>
    <row r="42" customFormat="false" ht="15" hidden="false" customHeight="true" outlineLevel="0" collapsed="false">
      <c r="A42" s="8" t="n">
        <v>0.345492</v>
      </c>
      <c r="B42" s="8" t="n">
        <v>0.059575</v>
      </c>
      <c r="C42" s="8" t="n">
        <f aca="false">B42*$E$1</f>
        <v>10.1277500846214</v>
      </c>
      <c r="D42" s="8" t="n">
        <f aca="false">$G$1+$K$1+$L$1</f>
        <v>25</v>
      </c>
      <c r="E42" s="8" t="n">
        <f aca="false">-A42*$E$1-($G$1*TAN(RADIANS($H$1)))-$J$1</f>
        <v>-908.472134353831</v>
      </c>
    </row>
    <row r="43" customFormat="false" ht="15" hidden="false" customHeight="true" outlineLevel="0" collapsed="false">
      <c r="A43" s="8" t="n">
        <v>0.322698</v>
      </c>
      <c r="B43" s="8" t="n">
        <v>0.059903</v>
      </c>
      <c r="C43" s="8" t="n">
        <f aca="false">B43*$E$1</f>
        <v>10.1835100850873</v>
      </c>
      <c r="D43" s="8" t="n">
        <f aca="false">$G$1+$K$1+$L$1</f>
        <v>25</v>
      </c>
      <c r="E43" s="8" t="n">
        <f aca="false">-A43*$E$1-($G$1*TAN(RADIANS($H$1)))-$J$1</f>
        <v>-904.597154321454</v>
      </c>
    </row>
    <row r="44" customFormat="false" ht="15" hidden="false" customHeight="true" outlineLevel="0" collapsed="false">
      <c r="A44" s="8" t="n">
        <v>0.300318</v>
      </c>
      <c r="B44" s="8" t="n">
        <v>0.060017</v>
      </c>
      <c r="C44" s="8" t="n">
        <f aca="false">B44*$E$1</f>
        <v>10.2028900852492</v>
      </c>
      <c r="D44" s="8" t="n">
        <f aca="false">$G$1+$K$1+$L$1</f>
        <v>25</v>
      </c>
      <c r="E44" s="8" t="n">
        <f aca="false">-A44*$E$1-($G$1*TAN(RADIANS($H$1)))-$J$1</f>
        <v>-900.792554289665</v>
      </c>
    </row>
    <row r="45" customFormat="false" ht="15" hidden="false" customHeight="true" outlineLevel="0" collapsed="false">
      <c r="A45" s="8" t="n">
        <v>0.278404</v>
      </c>
      <c r="B45" s="8" t="n">
        <v>0.05991</v>
      </c>
      <c r="C45" s="8" t="n">
        <f aca="false">B45*$E$1</f>
        <v>10.1847000850972</v>
      </c>
      <c r="D45" s="8" t="n">
        <f aca="false">$G$1+$K$1+$L$1</f>
        <v>25</v>
      </c>
      <c r="E45" s="8" t="n">
        <f aca="false">-A45*$E$1-($G$1*TAN(RADIANS($H$1)))-$J$1</f>
        <v>-897.067174258538</v>
      </c>
    </row>
    <row r="46" customFormat="false" ht="15" hidden="false" customHeight="true" outlineLevel="0" collapsed="false">
      <c r="A46" s="8" t="n">
        <v>0.257008</v>
      </c>
      <c r="B46" s="8" t="n">
        <v>0.059576</v>
      </c>
      <c r="C46" s="8" t="n">
        <f aca="false">B46*$E$1</f>
        <v>10.1279200846228</v>
      </c>
      <c r="D46" s="8" t="n">
        <f aca="false">$G$1+$K$1+$L$1</f>
        <v>25</v>
      </c>
      <c r="E46" s="8" t="n">
        <f aca="false">-A46*$E$1-($G$1*TAN(RADIANS($H$1)))-$J$1</f>
        <v>-893.429854228147</v>
      </c>
    </row>
    <row r="47" customFormat="false" ht="15" hidden="false" customHeight="true" outlineLevel="0" collapsed="false">
      <c r="A47" s="8" t="n">
        <v>0.23618</v>
      </c>
      <c r="B47" s="8" t="n">
        <v>0.059008</v>
      </c>
      <c r="C47" s="8" t="n">
        <f aca="false">B47*$E$1</f>
        <v>10.031360083816</v>
      </c>
      <c r="D47" s="8" t="n">
        <f aca="false">$G$1+$K$1+$L$1</f>
        <v>25</v>
      </c>
      <c r="E47" s="8" t="n">
        <f aca="false">-A47*$E$1-($G$1*TAN(RADIANS($H$1)))-$J$1</f>
        <v>-889.889094198562</v>
      </c>
    </row>
    <row r="48" customFormat="false" ht="15" hidden="false" customHeight="true" outlineLevel="0" collapsed="false">
      <c r="A48" s="8" t="n">
        <v>0.215968</v>
      </c>
      <c r="B48" s="8" t="n">
        <v>0.058205</v>
      </c>
      <c r="C48" s="8" t="n">
        <f aca="false">B48*$E$1</f>
        <v>9.89485008267543</v>
      </c>
      <c r="D48" s="8" t="n">
        <f aca="false">$G$1+$K$1+$L$1</f>
        <v>25</v>
      </c>
      <c r="E48" s="8" t="n">
        <f aca="false">-A48*$E$1-($G$1*TAN(RADIANS($H$1)))-$J$1</f>
        <v>-886.453054169853</v>
      </c>
    </row>
    <row r="49" customFormat="false" ht="15" hidden="false" customHeight="true" outlineLevel="0" collapsed="false">
      <c r="A49" s="8" t="n">
        <v>0.196419</v>
      </c>
      <c r="B49" s="8" t="n">
        <v>0.057164</v>
      </c>
      <c r="C49" s="8" t="n">
        <f aca="false">B49*$E$1</f>
        <v>9.71788008119677</v>
      </c>
      <c r="D49" s="8" t="n">
        <f aca="false">$G$1+$K$1+$L$1</f>
        <v>25</v>
      </c>
      <c r="E49" s="8" t="n">
        <f aca="false">-A49*$E$1-($G$1*TAN(RADIANS($H$1)))-$J$1</f>
        <v>-883.129724142085</v>
      </c>
    </row>
    <row r="50" customFormat="false" ht="15" hidden="false" customHeight="true" outlineLevel="0" collapsed="false">
      <c r="A50" s="8" t="n">
        <v>0.177579</v>
      </c>
      <c r="B50" s="8" t="n">
        <v>0.055886</v>
      </c>
      <c r="C50" s="8" t="n">
        <f aca="false">B50*$E$1</f>
        <v>9.50062007938148</v>
      </c>
      <c r="D50" s="8" t="n">
        <f aca="false">$G$1+$K$1+$L$1</f>
        <v>25</v>
      </c>
      <c r="E50" s="8" t="n">
        <f aca="false">-A50*$E$1-($G$1*TAN(RADIANS($H$1)))-$J$1</f>
        <v>-879.926924115325</v>
      </c>
    </row>
    <row r="51" customFormat="false" ht="15" hidden="false" customHeight="true" outlineLevel="0" collapsed="false">
      <c r="A51" s="8" t="n">
        <v>0.159492</v>
      </c>
      <c r="B51" s="8" t="n">
        <v>0.054372</v>
      </c>
      <c r="C51" s="8" t="n">
        <f aca="false">B51*$E$1</f>
        <v>9.24324007723097</v>
      </c>
      <c r="D51" s="8" t="n">
        <f aca="false">$G$1+$K$1+$L$1</f>
        <v>25</v>
      </c>
      <c r="E51" s="8" t="n">
        <f aca="false">-A51*$E$1-($G$1*TAN(RADIANS($H$1)))-$J$1</f>
        <v>-876.852134089633</v>
      </c>
    </row>
    <row r="52" customFormat="false" ht="15" hidden="false" customHeight="true" outlineLevel="0" collapsed="false">
      <c r="A52" s="8" t="n">
        <v>0.142201</v>
      </c>
      <c r="B52" s="8" t="n">
        <v>0.052625</v>
      </c>
      <c r="C52" s="8" t="n">
        <f aca="false">B52*$E$1</f>
        <v>8.9462500747495</v>
      </c>
      <c r="D52" s="8" t="n">
        <f aca="false">$G$1+$K$1+$L$1</f>
        <v>25</v>
      </c>
      <c r="E52" s="8" t="n">
        <f aca="false">-A52*$E$1-($G$1*TAN(RADIANS($H$1)))-$J$1</f>
        <v>-873.912664065073</v>
      </c>
    </row>
    <row r="53" customFormat="false" ht="15" hidden="false" customHeight="true" outlineLevel="0" collapsed="false">
      <c r="A53" s="8" t="n">
        <v>0.125745</v>
      </c>
      <c r="B53" s="8" t="n">
        <v>0.050651</v>
      </c>
      <c r="C53" s="8" t="n">
        <f aca="false">B53*$E$1</f>
        <v>8.61067007194559</v>
      </c>
      <c r="D53" s="8" t="n">
        <f aca="false">$G$1+$K$1+$L$1</f>
        <v>25</v>
      </c>
      <c r="E53" s="8" t="n">
        <f aca="false">-A53*$E$1-($G$1*TAN(RADIANS($H$1)))-$J$1</f>
        <v>-871.115144041699</v>
      </c>
    </row>
    <row r="54" customFormat="false" ht="15" hidden="false" customHeight="true" outlineLevel="0" collapsed="false">
      <c r="A54" s="8" t="n">
        <v>0.110163</v>
      </c>
      <c r="B54" s="8" t="n">
        <v>0.048457</v>
      </c>
      <c r="C54" s="8" t="n">
        <f aca="false">B54*$E$1</f>
        <v>8.23769006882919</v>
      </c>
      <c r="D54" s="8" t="n">
        <f aca="false">$G$1+$K$1+$L$1</f>
        <v>25</v>
      </c>
      <c r="E54" s="8" t="n">
        <f aca="false">-A54*$E$1-($G$1*TAN(RADIANS($H$1)))-$J$1</f>
        <v>-868.466204019566</v>
      </c>
    </row>
    <row r="55" customFormat="false" ht="15" hidden="false" customHeight="true" outlineLevel="0" collapsed="false">
      <c r="A55" s="8" t="n">
        <v>0.095492</v>
      </c>
      <c r="B55" s="8" t="n">
        <v>0.046049</v>
      </c>
      <c r="C55" s="8" t="n">
        <f aca="false">B55*$E$1</f>
        <v>7.82833006540883</v>
      </c>
      <c r="D55" s="8" t="n">
        <f aca="false">$G$1+$K$1+$L$1</f>
        <v>25</v>
      </c>
      <c r="E55" s="8" t="n">
        <f aca="false">-A55*$E$1-($G$1*TAN(RADIANS($H$1)))-$J$1</f>
        <v>-865.972133998727</v>
      </c>
    </row>
    <row r="56" customFormat="false" ht="15" hidden="false" customHeight="true" outlineLevel="0" collapsed="false">
      <c r="A56" s="8" t="n">
        <v>0.081765</v>
      </c>
      <c r="B56" s="8" t="n">
        <v>0.043437</v>
      </c>
      <c r="C56" s="8" t="n">
        <f aca="false">B56*$E$1</f>
        <v>7.3842900616987</v>
      </c>
      <c r="D56" s="8" t="n">
        <f aca="false">$G$1+$K$1+$L$1</f>
        <v>25</v>
      </c>
      <c r="E56" s="8" t="n">
        <f aca="false">-A56*$E$1-($G$1*TAN(RADIANS($H$1)))-$J$1</f>
        <v>-863.638543979229</v>
      </c>
    </row>
    <row r="57" customFormat="false" ht="15" hidden="false" customHeight="true" outlineLevel="0" collapsed="false">
      <c r="A57" s="8" t="n">
        <v>0.069015</v>
      </c>
      <c r="B57" s="8" t="n">
        <v>0.040631</v>
      </c>
      <c r="C57" s="8" t="n">
        <f aca="false">B57*$E$1</f>
        <v>6.907270057713</v>
      </c>
      <c r="D57" s="8" t="n">
        <f aca="false">$G$1+$K$1+$L$1</f>
        <v>25</v>
      </c>
      <c r="E57" s="8" t="n">
        <f aca="false">-A57*$E$1-($G$1*TAN(RADIANS($H$1)))-$J$1</f>
        <v>-861.471043961118</v>
      </c>
    </row>
    <row r="58" customFormat="false" ht="15" hidden="false" customHeight="true" outlineLevel="0" collapsed="false">
      <c r="A58" s="8" t="n">
        <v>0.057272</v>
      </c>
      <c r="B58" s="8" t="n">
        <v>0.037641</v>
      </c>
      <c r="C58" s="8" t="n">
        <f aca="false">B58*$E$1</f>
        <v>6.39897005346595</v>
      </c>
      <c r="D58" s="8" t="n">
        <f aca="false">$G$1+$K$1+$L$1</f>
        <v>25</v>
      </c>
      <c r="E58" s="8" t="n">
        <f aca="false">-A58*$E$1-($G$1*TAN(RADIANS($H$1)))-$J$1</f>
        <v>-859.474733944438</v>
      </c>
    </row>
    <row r="59" customFormat="false" ht="15" hidden="false" customHeight="true" outlineLevel="0" collapsed="false">
      <c r="A59" s="8" t="n">
        <v>0.046563</v>
      </c>
      <c r="B59" s="8" t="n">
        <v>0.034479</v>
      </c>
      <c r="C59" s="8" t="n">
        <f aca="false">B59*$E$1</f>
        <v>5.86143004897459</v>
      </c>
      <c r="D59" s="8" t="n">
        <f aca="false">$G$1+$K$1+$L$1</f>
        <v>25</v>
      </c>
      <c r="E59" s="8" t="n">
        <f aca="false">-A59*$E$1-($G$1*TAN(RADIANS($H$1)))-$J$1</f>
        <v>-857.654203929227</v>
      </c>
    </row>
    <row r="60" customFormat="false" ht="15" hidden="false" customHeight="true" outlineLevel="0" collapsed="false">
      <c r="A60" s="8" t="n">
        <v>0.036913</v>
      </c>
      <c r="B60" s="8" t="n">
        <v>0.031156</v>
      </c>
      <c r="C60" s="8" t="n">
        <f aca="false">B60*$E$1</f>
        <v>5.29652004425454</v>
      </c>
      <c r="D60" s="8" t="n">
        <f aca="false">$G$1+$K$1+$L$1</f>
        <v>25</v>
      </c>
      <c r="E60" s="8" t="n">
        <f aca="false">-A60*$E$1-($G$1*TAN(RADIANS($H$1)))-$J$1</f>
        <v>-856.01370391552</v>
      </c>
    </row>
    <row r="61" customFormat="false" ht="15" hidden="false" customHeight="true" outlineLevel="0" collapsed="false">
      <c r="A61" s="8" t="n">
        <v>0.028344</v>
      </c>
      <c r="B61" s="8" t="n">
        <v>0.027683</v>
      </c>
      <c r="C61" s="8" t="n">
        <f aca="false">B61*$E$1</f>
        <v>4.70611003932143</v>
      </c>
      <c r="D61" s="8" t="n">
        <f aca="false">$G$1+$K$1+$L$1</f>
        <v>25</v>
      </c>
      <c r="E61" s="8" t="n">
        <f aca="false">-A61*$E$1-($G$1*TAN(RADIANS($H$1)))-$J$1</f>
        <v>-854.556973903348</v>
      </c>
    </row>
    <row r="62" customFormat="false" ht="15" hidden="false" customHeight="true" outlineLevel="0" collapsed="false">
      <c r="A62" s="8" t="n">
        <v>0.020877</v>
      </c>
      <c r="B62" s="8" t="n">
        <v>0.024071</v>
      </c>
      <c r="C62" s="8" t="n">
        <f aca="false">B62*$E$1</f>
        <v>4.09207003419088</v>
      </c>
      <c r="D62" s="8" t="n">
        <f aca="false">$G$1+$K$1+$L$1</f>
        <v>25</v>
      </c>
      <c r="E62" s="8" t="n">
        <f aca="false">-A62*$E$1-($G$1*TAN(RADIANS($H$1)))-$J$1</f>
        <v>-853.287583892742</v>
      </c>
    </row>
    <row r="63" customFormat="false" ht="15" hidden="false" customHeight="true" outlineLevel="0" collapsed="false">
      <c r="A63" s="8" t="n">
        <v>0.014529</v>
      </c>
      <c r="B63" s="8" t="n">
        <v>0.02033</v>
      </c>
      <c r="C63" s="8" t="n">
        <f aca="false">B63*$E$1</f>
        <v>3.4561000288771</v>
      </c>
      <c r="D63" s="8" t="n">
        <f aca="false">$G$1+$K$1+$L$1</f>
        <v>25</v>
      </c>
      <c r="E63" s="8" t="n">
        <f aca="false">-A63*$E$1-($G$1*TAN(RADIANS($H$1)))-$J$1</f>
        <v>-852.208423883725</v>
      </c>
    </row>
    <row r="64" customFormat="false" ht="15" hidden="false" customHeight="true" outlineLevel="0" collapsed="false">
      <c r="A64" s="8" t="n">
        <v>0.009315</v>
      </c>
      <c r="B64" s="8" t="n">
        <v>0.016471</v>
      </c>
      <c r="C64" s="8" t="n">
        <f aca="false">B64*$E$1</f>
        <v>2.8000700233957</v>
      </c>
      <c r="D64" s="8" t="n">
        <f aca="false">$G$1+$K$1+$L$1</f>
        <v>25</v>
      </c>
      <c r="E64" s="8" t="n">
        <f aca="false">-A64*$E$1-($G$1*TAN(RADIANS($H$1)))-$J$1</f>
        <v>-851.322043876319</v>
      </c>
    </row>
    <row r="65" customFormat="false" ht="15" hidden="false" customHeight="true" outlineLevel="0" collapsed="false">
      <c r="A65" s="8" t="n">
        <v>0.005247</v>
      </c>
      <c r="B65" s="8" t="n">
        <v>0.012501</v>
      </c>
      <c r="C65" s="8" t="n">
        <f aca="false">B65*$E$1</f>
        <v>2.12517001775665</v>
      </c>
      <c r="D65" s="8" t="n">
        <f aca="false">$G$1+$K$1+$L$1</f>
        <v>25</v>
      </c>
      <c r="E65" s="8" t="n">
        <f aca="false">-A65*$E$1-($G$1*TAN(RADIANS($H$1)))-$J$1</f>
        <v>-850.630483870541</v>
      </c>
    </row>
    <row r="66" customFormat="false" ht="15" hidden="false" customHeight="true" outlineLevel="0" collapsed="false">
      <c r="A66" s="8" t="n">
        <v>0.002334</v>
      </c>
      <c r="B66" s="8" t="n">
        <v>0.008429</v>
      </c>
      <c r="C66" s="8" t="n">
        <f aca="false">B66*$E$1</f>
        <v>1.4329300119727</v>
      </c>
      <c r="D66" s="8" t="n">
        <f aca="false">$G$1+$K$1+$L$1</f>
        <v>25</v>
      </c>
      <c r="E66" s="8" t="n">
        <f aca="false">-A66*$E$1-($G$1*TAN(RADIANS($H$1)))-$J$1</f>
        <v>-850.135273866403</v>
      </c>
    </row>
    <row r="67" customFormat="false" ht="15" hidden="false" customHeight="true" outlineLevel="0" collapsed="false">
      <c r="A67" s="8" t="n">
        <v>0.000584</v>
      </c>
      <c r="B67" s="8" t="n">
        <v>0.00426</v>
      </c>
      <c r="C67" s="8" t="n">
        <f aca="false">B67*$E$1</f>
        <v>0.724200006050981</v>
      </c>
      <c r="D67" s="8" t="n">
        <f aca="false">$G$1+$K$1+$L$1</f>
        <v>25</v>
      </c>
      <c r="E67" s="8" t="n">
        <f aca="false">-A67*$E$1-($G$1*TAN(RADIANS($H$1)))-$J$1</f>
        <v>-849.837773863918</v>
      </c>
    </row>
    <row r="68" customFormat="false" ht="15" hidden="false" customHeight="true" outlineLevel="0" collapsed="false">
      <c r="A68" s="8" t="n">
        <v>0</v>
      </c>
      <c r="B68" s="8" t="n">
        <v>0</v>
      </c>
      <c r="C68" s="8" t="n">
        <f aca="false">B68*$E$1</f>
        <v>0</v>
      </c>
      <c r="D68" s="8" t="n">
        <f aca="false">$G$1+$K$1+$L$1</f>
        <v>25</v>
      </c>
      <c r="E68" s="8" t="n">
        <f aca="false">-A68*$E$1-($G$1*TAN(RADIANS($H$1)))-$J$1</f>
        <v>-849.738493863088</v>
      </c>
    </row>
    <row r="69" customFormat="false" ht="15" hidden="false" customHeight="true" outlineLevel="0" collapsed="false">
      <c r="A69" s="8" t="n">
        <v>0.000584</v>
      </c>
      <c r="B69" s="8" t="n">
        <v>-0.00426</v>
      </c>
      <c r="C69" s="8" t="n">
        <f aca="false">B69*$E$1</f>
        <v>-0.724200006050981</v>
      </c>
      <c r="D69" s="8" t="n">
        <f aca="false">$G$1+$K$1+$L$1</f>
        <v>25</v>
      </c>
      <c r="E69" s="8" t="n">
        <f aca="false">-A69*$E$1-($G$1*TAN(RADIANS($H$1)))-$J$1</f>
        <v>-849.837773863918</v>
      </c>
    </row>
    <row r="70" customFormat="false" ht="15" hidden="false" customHeight="true" outlineLevel="0" collapsed="false">
      <c r="A70" s="8" t="n">
        <v>0.002334</v>
      </c>
      <c r="B70" s="8" t="n">
        <v>-0.008429</v>
      </c>
      <c r="C70" s="8" t="n">
        <f aca="false">B70*$E$1</f>
        <v>-1.4329300119727</v>
      </c>
      <c r="D70" s="8" t="n">
        <f aca="false">$G$1+$K$1+$L$1</f>
        <v>25</v>
      </c>
      <c r="E70" s="8" t="n">
        <f aca="false">-A70*$E$1-($G$1*TAN(RADIANS($H$1)))-$J$1</f>
        <v>-850.135273866403</v>
      </c>
    </row>
    <row r="71" customFormat="false" ht="15" hidden="false" customHeight="true" outlineLevel="0" collapsed="false">
      <c r="A71" s="8" t="n">
        <v>0.005247</v>
      </c>
      <c r="B71" s="8" t="n">
        <v>-0.012501</v>
      </c>
      <c r="C71" s="8" t="n">
        <f aca="false">B71*$E$1</f>
        <v>-2.12517001775665</v>
      </c>
      <c r="D71" s="8" t="n">
        <f aca="false">$G$1+$K$1+$L$1</f>
        <v>25</v>
      </c>
      <c r="E71" s="8" t="n">
        <f aca="false">-A71*$E$1-($G$1*TAN(RADIANS($H$1)))-$J$1</f>
        <v>-850.630483870541</v>
      </c>
    </row>
    <row r="72" customFormat="false" ht="15" hidden="false" customHeight="true" outlineLevel="0" collapsed="false">
      <c r="A72" s="8" t="n">
        <v>0.009315</v>
      </c>
      <c r="B72" s="8" t="n">
        <v>-0.016471</v>
      </c>
      <c r="C72" s="8" t="n">
        <f aca="false">B72*$E$1</f>
        <v>-2.8000700233957</v>
      </c>
      <c r="D72" s="8" t="n">
        <f aca="false">$G$1+$K$1+$L$1</f>
        <v>25</v>
      </c>
      <c r="E72" s="8" t="n">
        <f aca="false">-A72*$E$1-($G$1*TAN(RADIANS($H$1)))-$J$1</f>
        <v>-851.322043876319</v>
      </c>
    </row>
    <row r="73" customFormat="false" ht="15" hidden="false" customHeight="true" outlineLevel="0" collapsed="false">
      <c r="A73" s="8" t="n">
        <v>0.014529</v>
      </c>
      <c r="B73" s="8" t="n">
        <v>-0.02033</v>
      </c>
      <c r="C73" s="8" t="n">
        <f aca="false">B73*$E$1</f>
        <v>-3.4561000288771</v>
      </c>
      <c r="D73" s="8" t="n">
        <f aca="false">$G$1+$K$1+$L$1</f>
        <v>25</v>
      </c>
      <c r="E73" s="8" t="n">
        <f aca="false">-A73*$E$1-($G$1*TAN(RADIANS($H$1)))-$J$1</f>
        <v>-852.208423883725</v>
      </c>
    </row>
    <row r="74" customFormat="false" ht="15" hidden="false" customHeight="true" outlineLevel="0" collapsed="false">
      <c r="A74" s="8" t="n">
        <v>0.020877</v>
      </c>
      <c r="B74" s="8" t="n">
        <v>-0.024071</v>
      </c>
      <c r="C74" s="8" t="n">
        <f aca="false">B74*$E$1</f>
        <v>-4.09207003419088</v>
      </c>
      <c r="D74" s="8" t="n">
        <f aca="false">$G$1+$K$1+$L$1</f>
        <v>25</v>
      </c>
      <c r="E74" s="8" t="n">
        <f aca="false">-A74*$E$1-($G$1*TAN(RADIANS($H$1)))-$J$1</f>
        <v>-853.287583892742</v>
      </c>
    </row>
    <row r="75" customFormat="false" ht="15" hidden="false" customHeight="true" outlineLevel="0" collapsed="false">
      <c r="A75" s="8" t="n">
        <v>0.028344</v>
      </c>
      <c r="B75" s="8" t="n">
        <v>-0.027683</v>
      </c>
      <c r="C75" s="8" t="n">
        <f aca="false">B75*$E$1</f>
        <v>-4.70611003932143</v>
      </c>
      <c r="D75" s="8" t="n">
        <f aca="false">$G$1+$K$1+$L$1</f>
        <v>25</v>
      </c>
      <c r="E75" s="8" t="n">
        <f aca="false">-A75*$E$1-($G$1*TAN(RADIANS($H$1)))-$J$1</f>
        <v>-854.556973903348</v>
      </c>
    </row>
    <row r="76" customFormat="false" ht="15" hidden="false" customHeight="true" outlineLevel="0" collapsed="false">
      <c r="A76" s="8" t="n">
        <v>0.036913</v>
      </c>
      <c r="B76" s="8" t="n">
        <v>-0.031156</v>
      </c>
      <c r="C76" s="8" t="n">
        <f aca="false">B76*$E$1</f>
        <v>-5.29652004425454</v>
      </c>
      <c r="D76" s="8" t="n">
        <f aca="false">$G$1+$K$1+$L$1</f>
        <v>25</v>
      </c>
      <c r="E76" s="8" t="n">
        <f aca="false">-A76*$E$1-($G$1*TAN(RADIANS($H$1)))-$J$1</f>
        <v>-856.01370391552</v>
      </c>
    </row>
    <row r="77" customFormat="false" ht="15" hidden="false" customHeight="true" outlineLevel="0" collapsed="false">
      <c r="A77" s="8" t="n">
        <v>0.046563</v>
      </c>
      <c r="B77" s="8" t="n">
        <v>-0.034479</v>
      </c>
      <c r="C77" s="8" t="n">
        <f aca="false">B77*$E$1</f>
        <v>-5.86143004897459</v>
      </c>
      <c r="D77" s="8" t="n">
        <f aca="false">$G$1+$K$1+$L$1</f>
        <v>25</v>
      </c>
      <c r="E77" s="8" t="n">
        <f aca="false">-A77*$E$1-($G$1*TAN(RADIANS($H$1)))-$J$1</f>
        <v>-857.654203929227</v>
      </c>
    </row>
    <row r="78" customFormat="false" ht="15" hidden="false" customHeight="true" outlineLevel="0" collapsed="false">
      <c r="A78" s="8" t="n">
        <v>0.057272</v>
      </c>
      <c r="B78" s="8" t="n">
        <v>-0.037641</v>
      </c>
      <c r="C78" s="8" t="n">
        <f aca="false">B78*$E$1</f>
        <v>-6.39897005346595</v>
      </c>
      <c r="D78" s="8" t="n">
        <f aca="false">$G$1+$K$1+$L$1</f>
        <v>25</v>
      </c>
      <c r="E78" s="8" t="n">
        <f aca="false">-A78*$E$1-($G$1*TAN(RADIANS($H$1)))-$J$1</f>
        <v>-859.474733944438</v>
      </c>
    </row>
    <row r="79" customFormat="false" ht="15" hidden="false" customHeight="true" outlineLevel="0" collapsed="false">
      <c r="A79" s="8" t="n">
        <v>0.069015</v>
      </c>
      <c r="B79" s="8" t="n">
        <v>-0.040631</v>
      </c>
      <c r="C79" s="8" t="n">
        <f aca="false">B79*$E$1</f>
        <v>-6.907270057713</v>
      </c>
      <c r="D79" s="8" t="n">
        <f aca="false">$G$1+$K$1+$L$1</f>
        <v>25</v>
      </c>
      <c r="E79" s="8" t="n">
        <f aca="false">-A79*$E$1-($G$1*TAN(RADIANS($H$1)))-$J$1</f>
        <v>-861.471043961118</v>
      </c>
    </row>
    <row r="80" customFormat="false" ht="15" hidden="false" customHeight="true" outlineLevel="0" collapsed="false">
      <c r="A80" s="8" t="n">
        <v>0.081765</v>
      </c>
      <c r="B80" s="8" t="n">
        <v>-0.043437</v>
      </c>
      <c r="C80" s="8" t="n">
        <f aca="false">B80*$E$1</f>
        <v>-7.3842900616987</v>
      </c>
      <c r="D80" s="8" t="n">
        <f aca="false">$G$1+$K$1+$L$1</f>
        <v>25</v>
      </c>
      <c r="E80" s="8" t="n">
        <f aca="false">-A80*$E$1-($G$1*TAN(RADIANS($H$1)))-$J$1</f>
        <v>-863.638543979229</v>
      </c>
    </row>
    <row r="81" customFormat="false" ht="15" hidden="false" customHeight="true" outlineLevel="0" collapsed="false">
      <c r="A81" s="8" t="n">
        <v>0.095492</v>
      </c>
      <c r="B81" s="8" t="n">
        <v>-0.046049</v>
      </c>
      <c r="C81" s="8" t="n">
        <f aca="false">B81*$E$1</f>
        <v>-7.82833006540883</v>
      </c>
      <c r="D81" s="8" t="n">
        <f aca="false">$G$1+$K$1+$L$1</f>
        <v>25</v>
      </c>
      <c r="E81" s="8" t="n">
        <f aca="false">-A81*$E$1-($G$1*TAN(RADIANS($H$1)))-$J$1</f>
        <v>-865.972133998727</v>
      </c>
    </row>
    <row r="82" customFormat="false" ht="15" hidden="false" customHeight="true" outlineLevel="0" collapsed="false">
      <c r="A82" s="8" t="n">
        <v>0.110163</v>
      </c>
      <c r="B82" s="8" t="n">
        <v>-0.048457</v>
      </c>
      <c r="C82" s="8" t="n">
        <f aca="false">B82*$E$1</f>
        <v>-8.23769006882919</v>
      </c>
      <c r="D82" s="8" t="n">
        <f aca="false">$G$1+$K$1+$L$1</f>
        <v>25</v>
      </c>
      <c r="E82" s="8" t="n">
        <f aca="false">-A82*$E$1-($G$1*TAN(RADIANS($H$1)))-$J$1</f>
        <v>-868.466204019566</v>
      </c>
    </row>
    <row r="83" customFormat="false" ht="15" hidden="false" customHeight="true" outlineLevel="0" collapsed="false">
      <c r="A83" s="8" t="n">
        <v>0.125745</v>
      </c>
      <c r="B83" s="8" t="n">
        <v>-0.050651</v>
      </c>
      <c r="C83" s="8" t="n">
        <f aca="false">B83*$E$1</f>
        <v>-8.61067007194559</v>
      </c>
      <c r="D83" s="8" t="n">
        <f aca="false">$G$1+$K$1+$L$1</f>
        <v>25</v>
      </c>
      <c r="E83" s="8" t="n">
        <f aca="false">-A83*$E$1-($G$1*TAN(RADIANS($H$1)))-$J$1</f>
        <v>-871.115144041699</v>
      </c>
    </row>
    <row r="84" customFormat="false" ht="15" hidden="false" customHeight="true" outlineLevel="0" collapsed="false">
      <c r="A84" s="8" t="n">
        <v>0.142201</v>
      </c>
      <c r="B84" s="8" t="n">
        <v>-0.052625</v>
      </c>
      <c r="C84" s="8" t="n">
        <f aca="false">B84*$E$1</f>
        <v>-8.9462500747495</v>
      </c>
      <c r="D84" s="8" t="n">
        <f aca="false">$G$1+$K$1+$L$1</f>
        <v>25</v>
      </c>
      <c r="E84" s="8" t="n">
        <f aca="false">-A84*$E$1-($G$1*TAN(RADIANS($H$1)))-$J$1</f>
        <v>-873.912664065073</v>
      </c>
    </row>
    <row r="85" customFormat="false" ht="15" hidden="false" customHeight="true" outlineLevel="0" collapsed="false">
      <c r="A85" s="8" t="n">
        <v>0.159492</v>
      </c>
      <c r="B85" s="8" t="n">
        <v>-0.054372</v>
      </c>
      <c r="C85" s="8" t="n">
        <f aca="false">B85*$E$1</f>
        <v>-9.24324007723097</v>
      </c>
      <c r="D85" s="8" t="n">
        <f aca="false">$G$1+$K$1+$L$1</f>
        <v>25</v>
      </c>
      <c r="E85" s="8" t="n">
        <f aca="false">-A85*$E$1-($G$1*TAN(RADIANS($H$1)))-$J$1</f>
        <v>-876.852134089633</v>
      </c>
    </row>
    <row r="86" customFormat="false" ht="15" hidden="false" customHeight="true" outlineLevel="0" collapsed="false">
      <c r="A86" s="8" t="n">
        <v>0.177579</v>
      </c>
      <c r="B86" s="8" t="n">
        <v>-0.055886</v>
      </c>
      <c r="C86" s="8" t="n">
        <f aca="false">B86*$E$1</f>
        <v>-9.50062007938148</v>
      </c>
      <c r="D86" s="8" t="n">
        <f aca="false">$G$1+$K$1+$L$1</f>
        <v>25</v>
      </c>
      <c r="E86" s="8" t="n">
        <f aca="false">-A86*$E$1-($G$1*TAN(RADIANS($H$1)))-$J$1</f>
        <v>-879.926924115325</v>
      </c>
    </row>
    <row r="87" customFormat="false" ht="15" hidden="false" customHeight="true" outlineLevel="0" collapsed="false">
      <c r="A87" s="8" t="n">
        <v>0.196419</v>
      </c>
      <c r="B87" s="8" t="n">
        <v>-0.057164</v>
      </c>
      <c r="C87" s="8" t="n">
        <f aca="false">B87*$E$1</f>
        <v>-9.71788008119677</v>
      </c>
      <c r="D87" s="8" t="n">
        <f aca="false">$G$1+$K$1+$L$1</f>
        <v>25</v>
      </c>
      <c r="E87" s="8" t="n">
        <f aca="false">-A87*$E$1-($G$1*TAN(RADIANS($H$1)))-$J$1</f>
        <v>-883.129724142085</v>
      </c>
    </row>
    <row r="88" customFormat="false" ht="15" hidden="false" customHeight="true" outlineLevel="0" collapsed="false">
      <c r="A88" s="8" t="n">
        <v>0.215968</v>
      </c>
      <c r="B88" s="8" t="n">
        <v>-0.058205</v>
      </c>
      <c r="C88" s="8" t="n">
        <f aca="false">B88*$E$1</f>
        <v>-9.89485008267543</v>
      </c>
      <c r="D88" s="8" t="n">
        <f aca="false">$G$1+$K$1+$L$1</f>
        <v>25</v>
      </c>
      <c r="E88" s="8" t="n">
        <f aca="false">-A88*$E$1-($G$1*TAN(RADIANS($H$1)))-$J$1</f>
        <v>-886.453054169853</v>
      </c>
    </row>
    <row r="89" customFormat="false" ht="15" hidden="false" customHeight="true" outlineLevel="0" collapsed="false">
      <c r="A89" s="8" t="n">
        <v>0.23618</v>
      </c>
      <c r="B89" s="8" t="n">
        <v>-0.059008</v>
      </c>
      <c r="C89" s="8" t="n">
        <f aca="false">B89*$E$1</f>
        <v>-10.031360083816</v>
      </c>
      <c r="D89" s="8" t="n">
        <f aca="false">$G$1+$K$1+$L$1</f>
        <v>25</v>
      </c>
      <c r="E89" s="8" t="n">
        <f aca="false">-A89*$E$1-($G$1*TAN(RADIANS($H$1)))-$J$1</f>
        <v>-889.889094198562</v>
      </c>
    </row>
    <row r="90" customFormat="false" ht="15" hidden="false" customHeight="true" outlineLevel="0" collapsed="false">
      <c r="A90" s="8" t="n">
        <v>0.257008</v>
      </c>
      <c r="B90" s="8" t="n">
        <v>-0.059576</v>
      </c>
      <c r="C90" s="8" t="n">
        <f aca="false">B90*$E$1</f>
        <v>-10.1279200846228</v>
      </c>
      <c r="D90" s="8" t="n">
        <f aca="false">$G$1+$K$1+$L$1</f>
        <v>25</v>
      </c>
      <c r="E90" s="8" t="n">
        <f aca="false">-A90*$E$1-($G$1*TAN(RADIANS($H$1)))-$J$1</f>
        <v>-893.429854228147</v>
      </c>
    </row>
    <row r="91" customFormat="false" ht="15" hidden="false" customHeight="true" outlineLevel="0" collapsed="false">
      <c r="A91" s="8" t="n">
        <v>0.278404</v>
      </c>
      <c r="B91" s="8" t="n">
        <v>-0.05991</v>
      </c>
      <c r="C91" s="8" t="n">
        <f aca="false">B91*$E$1</f>
        <v>-10.1847000850972</v>
      </c>
      <c r="D91" s="8" t="n">
        <f aca="false">$G$1+$K$1+$L$1</f>
        <v>25</v>
      </c>
      <c r="E91" s="8" t="n">
        <f aca="false">-A91*$E$1-($G$1*TAN(RADIANS($H$1)))-$J$1</f>
        <v>-897.067174258538</v>
      </c>
    </row>
    <row r="92" customFormat="false" ht="15" hidden="false" customHeight="true" outlineLevel="0" collapsed="false">
      <c r="A92" s="8" t="n">
        <v>0.300318</v>
      </c>
      <c r="B92" s="8" t="n">
        <v>-0.060017</v>
      </c>
      <c r="C92" s="8" t="n">
        <f aca="false">B92*$E$1</f>
        <v>-10.2028900852492</v>
      </c>
      <c r="D92" s="8" t="n">
        <f aca="false">$G$1+$K$1+$L$1</f>
        <v>25</v>
      </c>
      <c r="E92" s="8" t="n">
        <f aca="false">-A92*$E$1-($G$1*TAN(RADIANS($H$1)))-$J$1</f>
        <v>-900.792554289665</v>
      </c>
    </row>
    <row r="93" customFormat="false" ht="15" hidden="false" customHeight="true" outlineLevel="0" collapsed="false">
      <c r="A93" s="8" t="n">
        <v>0.322698</v>
      </c>
      <c r="B93" s="8" t="n">
        <v>-0.059903</v>
      </c>
      <c r="C93" s="8" t="n">
        <f aca="false">B93*$E$1</f>
        <v>-10.1835100850873</v>
      </c>
      <c r="D93" s="8" t="n">
        <f aca="false">$G$1+$K$1+$L$1</f>
        <v>25</v>
      </c>
      <c r="E93" s="8" t="n">
        <f aca="false">-A93*$E$1-($G$1*TAN(RADIANS($H$1)))-$J$1</f>
        <v>-904.597154321454</v>
      </c>
    </row>
    <row r="94" customFormat="false" ht="15" hidden="false" customHeight="true" outlineLevel="0" collapsed="false">
      <c r="A94" s="8" t="n">
        <v>0.345492</v>
      </c>
      <c r="B94" s="8" t="n">
        <v>-0.059575</v>
      </c>
      <c r="C94" s="8" t="n">
        <f aca="false">B94*$E$1</f>
        <v>-10.1277500846214</v>
      </c>
      <c r="D94" s="8" t="n">
        <f aca="false">$G$1+$K$1+$L$1</f>
        <v>25</v>
      </c>
      <c r="E94" s="8" t="n">
        <f aca="false">-A94*$E$1-($G$1*TAN(RADIANS($H$1)))-$J$1</f>
        <v>-908.472134353831</v>
      </c>
    </row>
    <row r="95" customFormat="false" ht="15" hidden="false" customHeight="true" outlineLevel="0" collapsed="false">
      <c r="A95" s="8" t="n">
        <v>0.368646</v>
      </c>
      <c r="B95" s="8" t="n">
        <v>-0.059042</v>
      </c>
      <c r="C95" s="8" t="n">
        <f aca="false">B95*$E$1</f>
        <v>-10.0371400838643</v>
      </c>
      <c r="D95" s="8" t="n">
        <f aca="false">$G$1+$K$1+$L$1</f>
        <v>25</v>
      </c>
      <c r="E95" s="8" t="n">
        <f aca="false">-A95*$E$1-($G$1*TAN(RADIANS($H$1)))-$J$1</f>
        <v>-912.408314386719</v>
      </c>
    </row>
    <row r="96" customFormat="false" ht="15" hidden="false" customHeight="true" outlineLevel="0" collapsed="false">
      <c r="A96" s="8" t="n">
        <v>0.392108</v>
      </c>
      <c r="B96" s="8" t="n">
        <v>-0.058314</v>
      </c>
      <c r="C96" s="8" t="n">
        <f aca="false">B96*$E$1</f>
        <v>-9.91338008283026</v>
      </c>
      <c r="D96" s="8" t="n">
        <f aca="false">$G$1+$K$1+$L$1</f>
        <v>25</v>
      </c>
      <c r="E96" s="8" t="n">
        <f aca="false">-A96*$E$1-($G$1*TAN(RADIANS($H$1)))-$J$1</f>
        <v>-916.396854420045</v>
      </c>
    </row>
    <row r="97" customFormat="false" ht="15" hidden="false" customHeight="true" outlineLevel="0" collapsed="false">
      <c r="A97" s="8" t="n">
        <v>0.415822</v>
      </c>
      <c r="B97" s="8" t="n">
        <v>-0.057403</v>
      </c>
      <c r="C97" s="8" t="n">
        <f aca="false">B97*$E$1</f>
        <v>-9.75851008153625</v>
      </c>
      <c r="D97" s="8" t="n">
        <f aca="false">$G$1+$K$1+$L$1</f>
        <v>25</v>
      </c>
      <c r="E97" s="8" t="n">
        <f aca="false">-A97*$E$1-($G$1*TAN(RADIANS($H$1)))-$J$1</f>
        <v>-920.428234453729</v>
      </c>
    </row>
    <row r="98" customFormat="false" ht="15" hidden="false" customHeight="true" outlineLevel="0" collapsed="false">
      <c r="A98" s="8" t="n">
        <v>0.439732</v>
      </c>
      <c r="B98" s="8" t="n">
        <v>-0.05632</v>
      </c>
      <c r="C98" s="8" t="n">
        <f aca="false">B98*$E$1</f>
        <v>-9.57440007999794</v>
      </c>
      <c r="D98" s="8" t="n">
        <f aca="false">$G$1+$K$1+$L$1</f>
        <v>25</v>
      </c>
      <c r="E98" s="8" t="n">
        <f aca="false">-A98*$E$1-($G$1*TAN(RADIANS($H$1)))-$J$1</f>
        <v>-924.492934487691</v>
      </c>
    </row>
    <row r="99" customFormat="false" ht="15" hidden="false" customHeight="true" outlineLevel="0" collapsed="false">
      <c r="A99" s="8" t="n">
        <v>0.463783</v>
      </c>
      <c r="B99" s="8" t="n">
        <v>-0.055077</v>
      </c>
      <c r="C99" s="8" t="n">
        <f aca="false">B99*$E$1</f>
        <v>-9.36309007823236</v>
      </c>
      <c r="D99" s="8" t="n">
        <f aca="false">$G$1+$K$1+$L$1</f>
        <v>25</v>
      </c>
      <c r="E99" s="8" t="n">
        <f aca="false">-A99*$E$1-($G$1*TAN(RADIANS($H$1)))-$J$1</f>
        <v>-928.581604521854</v>
      </c>
    </row>
    <row r="100" customFormat="false" ht="15" hidden="false" customHeight="true" outlineLevel="0" collapsed="false">
      <c r="A100" s="8" t="n">
        <v>0.487918</v>
      </c>
      <c r="B100" s="8" t="n">
        <v>-0.053687</v>
      </c>
      <c r="C100" s="8" t="n">
        <f aca="false">B100*$E$1</f>
        <v>-9.12679007625798</v>
      </c>
      <c r="D100" s="8" t="n">
        <f aca="false">$G$1+$K$1+$L$1</f>
        <v>25</v>
      </c>
      <c r="E100" s="8" t="n">
        <f aca="false">-A100*$E$1-($G$1*TAN(RADIANS($H$1)))-$J$1</f>
        <v>-932.684554556136</v>
      </c>
    </row>
    <row r="101" customFormat="false" ht="15" hidden="false" customHeight="true" outlineLevel="0" collapsed="false">
      <c r="A101" s="8" t="n">
        <v>0.512082</v>
      </c>
      <c r="B101" s="8" t="n">
        <v>-0.052162</v>
      </c>
      <c r="C101" s="8" t="n">
        <f aca="false">B101*$E$1</f>
        <v>-8.86754007409184</v>
      </c>
      <c r="D101" s="8" t="n">
        <f aca="false">$G$1+$K$1+$L$1</f>
        <v>25</v>
      </c>
      <c r="E101" s="8" t="n">
        <f aca="false">-A101*$E$1-($G$1*TAN(RADIANS($H$1)))-$J$1</f>
        <v>-936.792434590459</v>
      </c>
    </row>
    <row r="102" customFormat="false" ht="15" hidden="false" customHeight="true" outlineLevel="0" collapsed="false">
      <c r="A102" s="8" t="n">
        <v>0.536217</v>
      </c>
      <c r="B102" s="8" t="n">
        <v>-0.050516</v>
      </c>
      <c r="C102" s="8" t="n">
        <f aca="false">B102*$E$1</f>
        <v>-8.58772007175383</v>
      </c>
      <c r="D102" s="8" t="n">
        <f aca="false">$G$1+$K$1+$L$1</f>
        <v>25</v>
      </c>
      <c r="E102" s="8" t="n">
        <f aca="false">-A102*$E$1-($G$1*TAN(RADIANS($H$1)))-$J$1</f>
        <v>-940.89538462474</v>
      </c>
    </row>
    <row r="103" customFormat="false" ht="15" hidden="false" customHeight="true" outlineLevel="0" collapsed="false">
      <c r="A103" s="8" t="n">
        <v>0.560268</v>
      </c>
      <c r="B103" s="8" t="n">
        <v>-0.048762</v>
      </c>
      <c r="C103" s="8" t="n">
        <f aca="false">B103*$E$1</f>
        <v>-8.28954006926242</v>
      </c>
      <c r="D103" s="8" t="n">
        <f aca="false">$G$1+$K$1+$L$1</f>
        <v>25</v>
      </c>
      <c r="E103" s="8" t="n">
        <f aca="false">-A103*$E$1-($G$1*TAN(RADIANS($H$1)))-$J$1</f>
        <v>-944.984054658903</v>
      </c>
    </row>
    <row r="104" customFormat="false" ht="15" hidden="false" customHeight="true" outlineLevel="0" collapsed="false">
      <c r="A104" s="8" t="n">
        <v>0.584179</v>
      </c>
      <c r="B104" s="8" t="n">
        <v>-0.046912</v>
      </c>
      <c r="C104" s="8" t="n">
        <f aca="false">B104*$E$1</f>
        <v>-7.97504006663465</v>
      </c>
      <c r="D104" s="8" t="n">
        <f aca="false">$G$1+$K$1+$L$1</f>
        <v>25</v>
      </c>
      <c r="E104" s="8" t="n">
        <f aca="false">-A104*$E$1-($G$1*TAN(RADIANS($H$1)))-$J$1</f>
        <v>-949.048924692866</v>
      </c>
    </row>
    <row r="105" customFormat="false" ht="15" hidden="false" customHeight="true" outlineLevel="0" collapsed="false">
      <c r="A105" s="8" t="n">
        <v>0.607892</v>
      </c>
      <c r="B105" s="8" t="n">
        <v>-0.04498</v>
      </c>
      <c r="C105" s="8" t="n">
        <f aca="false">B105*$E$1</f>
        <v>-7.6466000638904</v>
      </c>
      <c r="D105" s="8" t="n">
        <f aca="false">$G$1+$K$1+$L$1</f>
        <v>25</v>
      </c>
      <c r="E105" s="8" t="n">
        <f aca="false">-A105*$E$1-($G$1*TAN(RADIANS($H$1)))-$J$1</f>
        <v>-953.080134726549</v>
      </c>
    </row>
    <row r="106" customFormat="false" ht="15" hidden="false" customHeight="true" outlineLevel="0" collapsed="false">
      <c r="A106" s="8" t="n">
        <v>0.631354</v>
      </c>
      <c r="B106" s="8" t="n">
        <v>-0.042978</v>
      </c>
      <c r="C106" s="8" t="n">
        <f aca="false">B106*$E$1</f>
        <v>-7.30626006104673</v>
      </c>
      <c r="D106" s="8" t="n">
        <f aca="false">$G$1+$K$1+$L$1</f>
        <v>25</v>
      </c>
      <c r="E106" s="8" t="n">
        <f aca="false">-A106*$E$1-($G$1*TAN(RADIANS($H$1)))-$J$1</f>
        <v>-957.068674759875</v>
      </c>
    </row>
    <row r="107" customFormat="false" ht="15" hidden="false" customHeight="true" outlineLevel="0" collapsed="false">
      <c r="A107" s="8" t="n">
        <v>0.654509</v>
      </c>
      <c r="B107" s="8" t="n">
        <v>-0.040917</v>
      </c>
      <c r="C107" s="8" t="n">
        <f aca="false">B107*$E$1</f>
        <v>-6.95589005811924</v>
      </c>
      <c r="D107" s="8" t="n">
        <f aca="false">$G$1+$K$1+$L$1</f>
        <v>25</v>
      </c>
      <c r="E107" s="8" t="n">
        <f aca="false">-A107*$E$1-($G$1*TAN(RADIANS($H$1)))-$J$1</f>
        <v>-961.005024792764</v>
      </c>
    </row>
    <row r="108" customFormat="false" ht="15" hidden="false" customHeight="true" outlineLevel="0" collapsed="false">
      <c r="A108" s="8" t="n">
        <v>0.677303</v>
      </c>
      <c r="B108" s="8" t="n">
        <v>-0.038811</v>
      </c>
      <c r="C108" s="8" t="n">
        <f aca="false">B108*$E$1</f>
        <v>-6.59787005512784</v>
      </c>
      <c r="D108" s="8" t="n">
        <f aca="false">$G$1+$K$1+$L$1</f>
        <v>25</v>
      </c>
      <c r="E108" s="8" t="n">
        <f aca="false">-A108*$E$1-($G$1*TAN(RADIANS($H$1)))-$J$1</f>
        <v>-964.880004825141</v>
      </c>
    </row>
    <row r="109" customFormat="false" ht="15" hidden="false" customHeight="true" outlineLevel="0" collapsed="false">
      <c r="A109" s="8" t="n">
        <v>0.699682</v>
      </c>
      <c r="B109" s="8" t="n">
        <v>-0.03667</v>
      </c>
      <c r="C109" s="8" t="n">
        <f aca="false">B109*$E$1</f>
        <v>-6.23390005208673</v>
      </c>
      <c r="D109" s="8" t="n">
        <f aca="false">$G$1+$K$1+$L$1</f>
        <v>25</v>
      </c>
      <c r="E109" s="8" t="n">
        <f aca="false">-A109*$E$1-($G$1*TAN(RADIANS($H$1)))-$J$1</f>
        <v>-968.684434856929</v>
      </c>
    </row>
    <row r="110" customFormat="false" ht="15" hidden="false" customHeight="true" outlineLevel="0" collapsed="false">
      <c r="A110" s="8" t="n">
        <v>0.721596</v>
      </c>
      <c r="B110" s="8" t="n">
        <v>-0.034506</v>
      </c>
      <c r="C110" s="8" t="n">
        <f aca="false">B110*$E$1</f>
        <v>-5.86602004901294</v>
      </c>
      <c r="D110" s="8" t="n">
        <f aca="false">$G$1+$K$1+$L$1</f>
        <v>25</v>
      </c>
      <c r="E110" s="8" t="n">
        <f aca="false">-A110*$E$1-($G$1*TAN(RADIANS($H$1)))-$J$1</f>
        <v>-972.409814888056</v>
      </c>
    </row>
    <row r="111" customFormat="false" ht="15" hidden="false" customHeight="true" outlineLevel="0" collapsed="false">
      <c r="A111" s="8" t="n">
        <v>0.742992</v>
      </c>
      <c r="B111" s="8" t="n">
        <v>-0.032329</v>
      </c>
      <c r="C111" s="8" t="n">
        <f aca="false">B111*$E$1</f>
        <v>-5.49593004592069</v>
      </c>
      <c r="D111" s="8" t="n">
        <f aca="false">$G$1+$K$1+$L$1</f>
        <v>25</v>
      </c>
      <c r="E111" s="8" t="n">
        <f aca="false">-A111*$E$1-($G$1*TAN(RADIANS($H$1)))-$J$1</f>
        <v>-976.047134918447</v>
      </c>
    </row>
    <row r="112" customFormat="false" ht="15" hidden="false" customHeight="true" outlineLevel="0" collapsed="false">
      <c r="A112" s="8" t="n">
        <v>0.76382</v>
      </c>
      <c r="B112" s="8" t="n">
        <v>-0.030152</v>
      </c>
      <c r="C112" s="8" t="n">
        <f aca="false">B112*$E$1</f>
        <v>-5.12584004282844</v>
      </c>
      <c r="D112" s="8" t="n">
        <f aca="false">$G$1+$K$1+$L$1</f>
        <v>25</v>
      </c>
      <c r="E112" s="8" t="n">
        <f aca="false">-A112*$E$1-($G$1*TAN(RADIANS($H$1)))-$J$1</f>
        <v>-979.587894948032</v>
      </c>
    </row>
    <row r="113" customFormat="false" ht="15" hidden="false" customHeight="true" outlineLevel="0" collapsed="false">
      <c r="A113" s="8" t="n">
        <v>0.784032</v>
      </c>
      <c r="B113" s="8" t="n">
        <v>-0.027983</v>
      </c>
      <c r="C113" s="8" t="n">
        <f aca="false">B113*$E$1</f>
        <v>-4.75711003974756</v>
      </c>
      <c r="D113" s="8" t="n">
        <f aca="false">$G$1+$K$1+$L$1</f>
        <v>25</v>
      </c>
      <c r="E113" s="8" t="n">
        <f aca="false">-A113*$E$1-($G$1*TAN(RADIANS($H$1)))-$J$1</f>
        <v>-983.023934976741</v>
      </c>
    </row>
    <row r="114" customFormat="false" ht="15" hidden="false" customHeight="true" outlineLevel="0" collapsed="false">
      <c r="A114" s="8" t="n">
        <v>0.803581</v>
      </c>
      <c r="B114" s="8" t="n">
        <v>-0.025834</v>
      </c>
      <c r="C114" s="8" t="n">
        <f aca="false">B114*$E$1</f>
        <v>-4.39178003669508</v>
      </c>
      <c r="D114" s="8" t="n">
        <f aca="false">$G$1+$K$1+$L$1</f>
        <v>25</v>
      </c>
      <c r="E114" s="8" t="n">
        <f aca="false">-A114*$E$1-($G$1*TAN(RADIANS($H$1)))-$J$1</f>
        <v>-986.347265004509</v>
      </c>
    </row>
    <row r="115" customFormat="false" ht="15" hidden="false" customHeight="true" outlineLevel="0" collapsed="false">
      <c r="A115" s="8" t="n">
        <v>0.822421</v>
      </c>
      <c r="B115" s="8" t="n">
        <v>-0.023714</v>
      </c>
      <c r="C115" s="8" t="n">
        <f aca="false">B115*$E$1</f>
        <v>-4.03138003368379</v>
      </c>
      <c r="D115" s="8" t="n">
        <f aca="false">$G$1+$K$1+$L$1</f>
        <v>25</v>
      </c>
      <c r="E115" s="8" t="n">
        <f aca="false">-A115*$E$1-($G$1*TAN(RADIANS($H$1)))-$J$1</f>
        <v>-989.55006503127</v>
      </c>
    </row>
    <row r="116" customFormat="false" ht="15" hidden="false" customHeight="true" outlineLevel="0" collapsed="false">
      <c r="A116" s="8" t="n">
        <v>0.840508</v>
      </c>
      <c r="B116" s="8" t="n">
        <v>-0.021635</v>
      </c>
      <c r="C116" s="8" t="n">
        <f aca="false">B116*$E$1</f>
        <v>-3.67795003073074</v>
      </c>
      <c r="D116" s="8" t="n">
        <f aca="false">$G$1+$K$1+$L$1</f>
        <v>25</v>
      </c>
      <c r="E116" s="8" t="n">
        <f aca="false">-A116*$E$1-($G$1*TAN(RADIANS($H$1)))-$J$1</f>
        <v>-992.624855056961</v>
      </c>
    </row>
    <row r="117" customFormat="false" ht="15" hidden="false" customHeight="true" outlineLevel="0" collapsed="false">
      <c r="A117" s="8" t="n">
        <v>0.8578</v>
      </c>
      <c r="B117" s="8" t="n">
        <v>-0.019605</v>
      </c>
      <c r="C117" s="8" t="n">
        <f aca="false">B117*$E$1</f>
        <v>-3.3328500278473</v>
      </c>
      <c r="D117" s="8" t="n">
        <f aca="false">$G$1+$K$1+$L$1</f>
        <v>25</v>
      </c>
      <c r="E117" s="8" t="n">
        <f aca="false">-A117*$E$1-($G$1*TAN(RADIANS($H$1)))-$J$1</f>
        <v>-995.564495081523</v>
      </c>
    </row>
    <row r="118" customFormat="false" ht="15" hidden="false" customHeight="true" outlineLevel="0" collapsed="false">
      <c r="A118" s="8" t="n">
        <v>0.874255</v>
      </c>
      <c r="B118" s="8" t="n">
        <v>-0.017635</v>
      </c>
      <c r="C118" s="8" t="n">
        <f aca="false">B118*$E$1</f>
        <v>-2.99795002504907</v>
      </c>
      <c r="D118" s="8" t="n">
        <f aca="false">$G$1+$K$1+$L$1</f>
        <v>25</v>
      </c>
      <c r="E118" s="8" t="n">
        <f aca="false">-A118*$E$1-($G$1*TAN(RADIANS($H$1)))-$J$1</f>
        <v>-998.361845104896</v>
      </c>
    </row>
    <row r="119" customFormat="false" ht="15" hidden="false" customHeight="true" outlineLevel="0" collapsed="false">
      <c r="A119" s="8" t="n">
        <v>0.889837</v>
      </c>
      <c r="B119" s="8" t="n">
        <v>-0.015735</v>
      </c>
      <c r="C119" s="8" t="n">
        <f aca="false">B119*$E$1</f>
        <v>-2.67495002235028</v>
      </c>
      <c r="D119" s="8" t="n">
        <f aca="false">$G$1+$K$1+$L$1</f>
        <v>25</v>
      </c>
      <c r="E119" s="8" t="n">
        <f aca="false">-A119*$E$1-($G$1*TAN(RADIANS($H$1)))-$J$1</f>
        <v>-1001.01078512703</v>
      </c>
    </row>
    <row r="120" customFormat="false" ht="15" hidden="false" customHeight="true" outlineLevel="0" collapsed="false">
      <c r="A120" s="8" t="n">
        <v>0.904509</v>
      </c>
      <c r="B120" s="8" t="n">
        <v>-0.013914</v>
      </c>
      <c r="C120" s="8" t="n">
        <f aca="false">B120*$E$1</f>
        <v>-2.3653800197637</v>
      </c>
      <c r="D120" s="8" t="n">
        <f aca="false">$G$1+$K$1+$L$1</f>
        <v>25</v>
      </c>
      <c r="E120" s="8" t="n">
        <f aca="false">-A120*$E$1-($G$1*TAN(RADIANS($H$1)))-$J$1</f>
        <v>-1003.50502514787</v>
      </c>
    </row>
    <row r="121" customFormat="false" ht="15" hidden="false" customHeight="true" outlineLevel="0" collapsed="false">
      <c r="A121" s="8" t="n">
        <v>0.918235</v>
      </c>
      <c r="B121" s="8" t="n">
        <v>-0.012182</v>
      </c>
      <c r="C121" s="8" t="n">
        <f aca="false">B121*$E$1</f>
        <v>-2.07094001730353</v>
      </c>
      <c r="D121" s="8" t="n">
        <f aca="false">$G$1+$K$1+$L$1</f>
        <v>25</v>
      </c>
      <c r="E121" s="8" t="n">
        <f aca="false">-A121*$E$1-($G$1*TAN(RADIANS($H$1)))-$J$1</f>
        <v>-1005.83844516737</v>
      </c>
    </row>
    <row r="122" customFormat="false" ht="15" hidden="false" customHeight="true" outlineLevel="0" collapsed="false">
      <c r="A122" s="8" t="n">
        <v>0.930985</v>
      </c>
      <c r="B122" s="8" t="n">
        <v>-0.010549</v>
      </c>
      <c r="C122" s="8" t="n">
        <f aca="false">B122*$E$1</f>
        <v>-1.79333001498399</v>
      </c>
      <c r="D122" s="8" t="n">
        <f aca="false">$G$1+$K$1+$L$1</f>
        <v>25</v>
      </c>
      <c r="E122" s="8" t="n">
        <f aca="false">-A122*$E$1-($G$1*TAN(RADIANS($H$1)))-$J$1</f>
        <v>-1008.00594518548</v>
      </c>
    </row>
    <row r="123" customFormat="false" ht="15" hidden="false" customHeight="true" outlineLevel="0" collapsed="false">
      <c r="A123" s="8" t="n">
        <v>0.942728</v>
      </c>
      <c r="B123" s="8" t="n">
        <v>-0.009022</v>
      </c>
      <c r="C123" s="8" t="n">
        <f aca="false">B123*$E$1</f>
        <v>-1.53374001281501</v>
      </c>
      <c r="D123" s="8" t="n">
        <f aca="false">$G$1+$K$1+$L$1</f>
        <v>25</v>
      </c>
      <c r="E123" s="8" t="n">
        <f aca="false">-A123*$E$1-($G$1*TAN(RADIANS($H$1)))-$J$1</f>
        <v>-1010.00225520216</v>
      </c>
    </row>
    <row r="124" customFormat="false" ht="15" hidden="false" customHeight="true" outlineLevel="0" collapsed="false">
      <c r="A124" s="8" t="n">
        <v>0.953437</v>
      </c>
      <c r="B124" s="8" t="n">
        <v>-0.007611</v>
      </c>
      <c r="C124" s="8" t="n">
        <f aca="false">B124*$E$1</f>
        <v>-1.2938700108108</v>
      </c>
      <c r="D124" s="8" t="n">
        <f aca="false">$G$1+$K$1+$L$1</f>
        <v>25</v>
      </c>
      <c r="E124" s="8" t="n">
        <f aca="false">-A124*$E$1-($G$1*TAN(RADIANS($H$1)))-$J$1</f>
        <v>-1011.82278521737</v>
      </c>
    </row>
    <row r="125" customFormat="false" ht="15" hidden="false" customHeight="true" outlineLevel="0" collapsed="false">
      <c r="A125" s="8" t="n">
        <v>0.963087</v>
      </c>
      <c r="B125" s="8" t="n">
        <v>-0.006324</v>
      </c>
      <c r="C125" s="8" t="n">
        <f aca="false">B125*$E$1</f>
        <v>-1.07508000898272</v>
      </c>
      <c r="D125" s="8" t="n">
        <f aca="false">$G$1+$K$1+$L$1</f>
        <v>25</v>
      </c>
      <c r="E125" s="8" t="n">
        <f aca="false">-A125*$E$1-($G$1*TAN(RADIANS($H$1)))-$J$1</f>
        <v>-1013.46328523107</v>
      </c>
    </row>
    <row r="126" customFormat="false" ht="15" hidden="false" customHeight="true" outlineLevel="0" collapsed="false">
      <c r="A126" s="8" t="n">
        <v>0.971656</v>
      </c>
      <c r="B126" s="8" t="n">
        <v>-0.005169</v>
      </c>
      <c r="C126" s="8" t="n">
        <f aca="false">B126*$E$1</f>
        <v>-0.878730007342141</v>
      </c>
      <c r="D126" s="8" t="n">
        <f aca="false">$G$1+$K$1+$L$1</f>
        <v>25</v>
      </c>
      <c r="E126" s="8" t="n">
        <f aca="false">-A126*$E$1-($G$1*TAN(RADIANS($H$1)))-$J$1</f>
        <v>-1014.92001524325</v>
      </c>
    </row>
    <row r="127" customFormat="false" ht="15" hidden="false" customHeight="true" outlineLevel="0" collapsed="false">
      <c r="A127" s="8" t="n">
        <v>0.979123</v>
      </c>
      <c r="B127" s="8" t="n">
        <v>-0.004152</v>
      </c>
      <c r="C127" s="8" t="n">
        <f aca="false">B127*$E$1</f>
        <v>-0.705840005897576</v>
      </c>
      <c r="D127" s="8" t="n">
        <f aca="false">$G$1+$K$1+$L$1</f>
        <v>25</v>
      </c>
      <c r="E127" s="8" t="n">
        <f aca="false">-A127*$E$1-($G$1*TAN(RADIANS($H$1)))-$J$1</f>
        <v>-1016.18940525385</v>
      </c>
    </row>
    <row r="128" customFormat="false" ht="15" hidden="false" customHeight="true" outlineLevel="0" collapsed="false">
      <c r="A128" s="8" t="n">
        <v>0.985471</v>
      </c>
      <c r="B128" s="8" t="n">
        <v>-0.00328</v>
      </c>
      <c r="C128" s="8" t="n">
        <f aca="false">B128*$E$1</f>
        <v>-0.557600004658971</v>
      </c>
      <c r="D128" s="8" t="n">
        <f aca="false">$G$1+$K$1+$L$1</f>
        <v>25</v>
      </c>
      <c r="E128" s="8" t="n">
        <f aca="false">-A128*$E$1-($G$1*TAN(RADIANS($H$1)))-$J$1</f>
        <v>-1017.26856526287</v>
      </c>
    </row>
    <row r="129" customFormat="false" ht="15" hidden="false" customHeight="true" outlineLevel="0" collapsed="false">
      <c r="A129" s="8" t="n">
        <v>0.990685</v>
      </c>
      <c r="B129" s="8" t="n">
        <v>-0.00256</v>
      </c>
      <c r="C129" s="8" t="n">
        <f aca="false">B129*$E$1</f>
        <v>-0.43520000363627</v>
      </c>
      <c r="D129" s="8" t="n">
        <f aca="false">$G$1+$K$1+$L$1</f>
        <v>25</v>
      </c>
      <c r="E129" s="8" t="n">
        <f aca="false">-A129*$E$1-($G$1*TAN(RADIANS($H$1)))-$J$1</f>
        <v>-1018.15494527027</v>
      </c>
    </row>
    <row r="130" customFormat="false" ht="15" hidden="false" customHeight="true" outlineLevel="0" collapsed="false">
      <c r="A130" s="8" t="n">
        <v>0.994753</v>
      </c>
      <c r="B130" s="8" t="n">
        <v>-0.001994</v>
      </c>
      <c r="C130" s="8" t="n">
        <f aca="false">B130*$E$1</f>
        <v>-0.338980002832314</v>
      </c>
      <c r="D130" s="8" t="n">
        <f aca="false">$G$1+$K$1+$L$1</f>
        <v>25</v>
      </c>
      <c r="E130" s="8" t="n">
        <f aca="false">-A130*$E$1-($G$1*TAN(RADIANS($H$1)))-$J$1</f>
        <v>-1018.84650527605</v>
      </c>
    </row>
    <row r="131" customFormat="false" ht="15" hidden="false" customHeight="true" outlineLevel="0" collapsed="false">
      <c r="A131" s="8" t="n">
        <v>0.997666</v>
      </c>
      <c r="B131" s="8" t="n">
        <v>-0.001587</v>
      </c>
      <c r="C131" s="8" t="n">
        <f aca="false">B131*$E$1</f>
        <v>-0.269790002254203</v>
      </c>
      <c r="D131" s="8" t="n">
        <f aca="false">$G$1+$K$1+$L$1</f>
        <v>25</v>
      </c>
      <c r="E131" s="8" t="n">
        <f aca="false">-A131*$E$1-($G$1*TAN(RADIANS($H$1)))-$J$1</f>
        <v>-1019.34171528019</v>
      </c>
    </row>
    <row r="132" customFormat="false" ht="15" hidden="false" customHeight="true" outlineLevel="0" collapsed="false">
      <c r="A132" s="8" t="n">
        <v>0.999416</v>
      </c>
      <c r="B132" s="8" t="n">
        <v>-0.001342</v>
      </c>
      <c r="C132" s="8" t="n">
        <f aca="false">B132*$E$1</f>
        <v>-0.228140001906201</v>
      </c>
      <c r="D132" s="8" t="n">
        <f aca="false">$G$1+$K$1+$L$1</f>
        <v>25</v>
      </c>
      <c r="E132" s="8" t="n">
        <f aca="false">-A132*$E$1-($G$1*TAN(RADIANS($H$1)))-$J$1</f>
        <v>-1019.63921528268</v>
      </c>
    </row>
    <row r="133" customFormat="false" ht="15" hidden="false" customHeight="true" outlineLevel="0" collapsed="false">
      <c r="A133" s="8" t="n">
        <v>1</v>
      </c>
      <c r="B133" s="9" t="n">
        <v>0</v>
      </c>
      <c r="C133" s="8" t="n">
        <f aca="false">B133*$E$1</f>
        <v>0</v>
      </c>
      <c r="D133" s="8" t="n">
        <f aca="false">$G$1+$K$1+$L$1</f>
        <v>25</v>
      </c>
      <c r="E133" s="8" t="n">
        <f aca="false">-A133*$E$1-($G$1*TAN(RADIANS($H$1)))-$J$1</f>
        <v>-1019.73849528351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67</v>
      </c>
      <c r="E1" s="6" t="n">
        <v>89.999999951986</v>
      </c>
      <c r="F1" s="6" t="n">
        <v>0</v>
      </c>
      <c r="G1" s="6" t="n">
        <v>200.000001255695</v>
      </c>
      <c r="H1" s="6" t="n">
        <v>21.8014095</v>
      </c>
      <c r="J1" s="6" t="n">
        <v>849.738493863088</v>
      </c>
      <c r="K1" s="6" t="n">
        <v>0</v>
      </c>
      <c r="L1" s="6" t="n">
        <v>25</v>
      </c>
    </row>
    <row r="2" customFormat="false" ht="15" hidden="false" customHeight="true" outlineLevel="0" collapsed="false">
      <c r="A2" s="7" t="s">
        <v>50</v>
      </c>
      <c r="B2" s="7" t="s">
        <v>51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J2" s="7" t="s">
        <v>59</v>
      </c>
      <c r="K2" s="7" t="s">
        <v>66</v>
      </c>
      <c r="L2" s="7" t="s">
        <v>60</v>
      </c>
    </row>
    <row r="3" customFormat="false" ht="15" hidden="false" customHeight="true" outlineLevel="0" collapsed="false">
      <c r="A3" s="8" t="n">
        <v>1</v>
      </c>
      <c r="B3" s="9" t="n">
        <v>0</v>
      </c>
      <c r="C3" s="8" t="n">
        <f aca="false">B3*$E$1</f>
        <v>0</v>
      </c>
      <c r="D3" s="8" t="n">
        <f aca="false">$G$1+$K$1+$L$1</f>
        <v>225.000001255695</v>
      </c>
      <c r="E3" s="8" t="n">
        <f aca="false">-A3*$E$1-($G$1*TAN(RADIANS($H$1)))-$J$1</f>
        <v>-1019.73849437262</v>
      </c>
      <c r="N3" s="7" t="s">
        <v>61</v>
      </c>
    </row>
    <row r="4" customFormat="false" ht="15" hidden="false" customHeight="true" outlineLevel="0" collapsed="false">
      <c r="A4" s="8" t="n">
        <v>0.999416</v>
      </c>
      <c r="B4" s="8" t="n">
        <v>0.001342</v>
      </c>
      <c r="C4" s="8" t="n">
        <f aca="false">B4*$E$1</f>
        <v>0.120779999935565</v>
      </c>
      <c r="D4" s="8" t="n">
        <f aca="false">$G$1+$K$1+$L$1</f>
        <v>225.000001255695</v>
      </c>
      <c r="E4" s="8" t="n">
        <f aca="false">-A4*$E$1-($G$1*TAN(RADIANS($H$1)))-$J$1</f>
        <v>-1019.68593437264</v>
      </c>
      <c r="N4" s="7" t="s">
        <v>62</v>
      </c>
    </row>
    <row r="5" customFormat="false" ht="15" hidden="false" customHeight="true" outlineLevel="0" collapsed="false">
      <c r="A5" s="8" t="n">
        <v>0.997666</v>
      </c>
      <c r="B5" s="8" t="n">
        <v>0.001587</v>
      </c>
      <c r="C5" s="8" t="n">
        <f aca="false">B5*$E$1</f>
        <v>0.142829999923802</v>
      </c>
      <c r="D5" s="8" t="n">
        <f aca="false">$G$1+$K$1+$L$1</f>
        <v>225.000001255695</v>
      </c>
      <c r="E5" s="8" t="n">
        <f aca="false">-A5*$E$1-($G$1*TAN(RADIANS($H$1)))-$J$1</f>
        <v>-1019.52843437273</v>
      </c>
    </row>
    <row r="6" customFormat="false" ht="15" hidden="false" customHeight="true" outlineLevel="0" collapsed="false">
      <c r="A6" s="8" t="n">
        <v>0.994753</v>
      </c>
      <c r="B6" s="8" t="n">
        <v>0.001994</v>
      </c>
      <c r="C6" s="8" t="n">
        <f aca="false">B6*$E$1</f>
        <v>0.17945999990426</v>
      </c>
      <c r="D6" s="8" t="n">
        <f aca="false">$G$1+$K$1+$L$1</f>
        <v>225.000001255695</v>
      </c>
      <c r="E6" s="8" t="n">
        <f aca="false">-A6*$E$1-($G$1*TAN(RADIANS($H$1)))-$J$1</f>
        <v>-1019.26626437287</v>
      </c>
    </row>
    <row r="7" customFormat="false" ht="15" hidden="false" customHeight="true" outlineLevel="0" collapsed="false">
      <c r="A7" s="8" t="n">
        <v>0.990685</v>
      </c>
      <c r="B7" s="8" t="n">
        <v>0.00256</v>
      </c>
      <c r="C7" s="8" t="n">
        <f aca="false">B7*$E$1</f>
        <v>0.230399999877084</v>
      </c>
      <c r="D7" s="8" t="n">
        <f aca="false">$G$1+$K$1+$L$1</f>
        <v>225.000001255695</v>
      </c>
      <c r="E7" s="8" t="n">
        <f aca="false">-A7*$E$1-($G$1*TAN(RADIANS($H$1)))-$J$1</f>
        <v>-1018.90014437306</v>
      </c>
    </row>
    <row r="8" customFormat="false" ht="15" hidden="false" customHeight="true" outlineLevel="0" collapsed="false">
      <c r="A8" s="8" t="n">
        <v>0.985471</v>
      </c>
      <c r="B8" s="8" t="n">
        <v>0.00328</v>
      </c>
      <c r="C8" s="8" t="n">
        <f aca="false">B8*$E$1</f>
        <v>0.295199999842514</v>
      </c>
      <c r="D8" s="8" t="n">
        <f aca="false">$G$1+$K$1+$L$1</f>
        <v>225.000001255695</v>
      </c>
      <c r="E8" s="8" t="n">
        <f aca="false">-A8*$E$1-($G$1*TAN(RADIANS($H$1)))-$J$1</f>
        <v>-1018.43088437331</v>
      </c>
    </row>
    <row r="9" customFormat="false" ht="15" hidden="false" customHeight="true" outlineLevel="0" collapsed="false">
      <c r="A9" s="8" t="n">
        <v>0.979123</v>
      </c>
      <c r="B9" s="8" t="n">
        <v>0.004152</v>
      </c>
      <c r="C9" s="8" t="n">
        <f aca="false">B9*$E$1</f>
        <v>0.373679999800646</v>
      </c>
      <c r="D9" s="8" t="n">
        <f aca="false">$G$1+$K$1+$L$1</f>
        <v>225.000001255695</v>
      </c>
      <c r="E9" s="8" t="n">
        <f aca="false">-A9*$E$1-($G$1*TAN(RADIANS($H$1)))-$J$1</f>
        <v>-1017.85956437362</v>
      </c>
    </row>
    <row r="10" customFormat="false" ht="15" hidden="false" customHeight="true" outlineLevel="0" collapsed="false">
      <c r="A10" s="8" t="n">
        <v>0.971656</v>
      </c>
      <c r="B10" s="8" t="n">
        <v>0.005169</v>
      </c>
      <c r="C10" s="8" t="n">
        <f aca="false">B10*$E$1</f>
        <v>0.465209999751816</v>
      </c>
      <c r="D10" s="8" t="n">
        <f aca="false">$G$1+$K$1+$L$1</f>
        <v>225.000001255695</v>
      </c>
      <c r="E10" s="8" t="n">
        <f aca="false">-A10*$E$1-($G$1*TAN(RADIANS($H$1)))-$J$1</f>
        <v>-1017.18753437398</v>
      </c>
    </row>
    <row r="11" customFormat="false" ht="15" hidden="false" customHeight="true" outlineLevel="0" collapsed="false">
      <c r="A11" s="8" t="n">
        <v>0.963087</v>
      </c>
      <c r="B11" s="8" t="n">
        <v>0.006324</v>
      </c>
      <c r="C11" s="8" t="n">
        <f aca="false">B11*$E$1</f>
        <v>0.569159999696359</v>
      </c>
      <c r="D11" s="8" t="n">
        <f aca="false">$G$1+$K$1+$L$1</f>
        <v>225.000001255695</v>
      </c>
      <c r="E11" s="8" t="n">
        <f aca="false">-A11*$E$1-($G$1*TAN(RADIANS($H$1)))-$J$1</f>
        <v>-1016.41632437439</v>
      </c>
    </row>
    <row r="12" customFormat="false" ht="15" hidden="false" customHeight="true" outlineLevel="0" collapsed="false">
      <c r="A12" s="8" t="n">
        <v>0.953437</v>
      </c>
      <c r="B12" s="8" t="n">
        <v>0.007611</v>
      </c>
      <c r="C12" s="8" t="n">
        <f aca="false">B12*$E$1</f>
        <v>0.684989999634565</v>
      </c>
      <c r="D12" s="8" t="n">
        <f aca="false">$G$1+$K$1+$L$1</f>
        <v>225.000001255695</v>
      </c>
      <c r="E12" s="8" t="n">
        <f aca="false">-A12*$E$1-($G$1*TAN(RADIANS($H$1)))-$J$1</f>
        <v>-1015.54782437485</v>
      </c>
    </row>
    <row r="13" customFormat="false" ht="15" hidden="false" customHeight="true" outlineLevel="0" collapsed="false">
      <c r="A13" s="8" t="n">
        <v>0.942728</v>
      </c>
      <c r="B13" s="8" t="n">
        <v>0.009022</v>
      </c>
      <c r="C13" s="8" t="n">
        <f aca="false">B13*$E$1</f>
        <v>0.811979999566818</v>
      </c>
      <c r="D13" s="8" t="n">
        <f aca="false">$G$1+$K$1+$L$1</f>
        <v>225.000001255695</v>
      </c>
      <c r="E13" s="8" t="n">
        <f aca="false">-A13*$E$1-($G$1*TAN(RADIANS($H$1)))-$J$1</f>
        <v>-1014.58401437537</v>
      </c>
    </row>
    <row r="14" customFormat="false" ht="15" hidden="false" customHeight="true" outlineLevel="0" collapsed="false">
      <c r="A14" s="8" t="n">
        <v>0.930985</v>
      </c>
      <c r="B14" s="8" t="n">
        <v>0.010549</v>
      </c>
      <c r="C14" s="8" t="n">
        <f aca="false">B14*$E$1</f>
        <v>0.9494099994935</v>
      </c>
      <c r="D14" s="8" t="n">
        <f aca="false">$G$1+$K$1+$L$1</f>
        <v>225.000001255695</v>
      </c>
      <c r="E14" s="8" t="n">
        <f aca="false">-A14*$E$1-($G$1*TAN(RADIANS($H$1)))-$J$1</f>
        <v>-1013.52714437593</v>
      </c>
    </row>
    <row r="15" customFormat="false" ht="15" hidden="false" customHeight="true" outlineLevel="0" collapsed="false">
      <c r="A15" s="8" t="n">
        <v>0.918235</v>
      </c>
      <c r="B15" s="8" t="n">
        <v>0.012182</v>
      </c>
      <c r="C15" s="8" t="n">
        <f aca="false">B15*$E$1</f>
        <v>1.09637999941509</v>
      </c>
      <c r="D15" s="8" t="n">
        <f aca="false">$G$1+$K$1+$L$1</f>
        <v>225.000001255695</v>
      </c>
      <c r="E15" s="8" t="n">
        <f aca="false">-A15*$E$1-($G$1*TAN(RADIANS($H$1)))-$J$1</f>
        <v>-1012.37964437654</v>
      </c>
    </row>
    <row r="16" customFormat="false" ht="15" hidden="false" customHeight="true" outlineLevel="0" collapsed="false">
      <c r="A16" s="8" t="n">
        <v>0.904509</v>
      </c>
      <c r="B16" s="8" t="n">
        <v>0.013914</v>
      </c>
      <c r="C16" s="8" t="n">
        <f aca="false">B16*$E$1</f>
        <v>1.25225999933193</v>
      </c>
      <c r="D16" s="8" t="n">
        <f aca="false">$G$1+$K$1+$L$1</f>
        <v>225.000001255695</v>
      </c>
      <c r="E16" s="8" t="n">
        <f aca="false">-A16*$E$1-($G$1*TAN(RADIANS($H$1)))-$J$1</f>
        <v>-1011.1443043772</v>
      </c>
    </row>
    <row r="17" customFormat="false" ht="15" hidden="false" customHeight="true" outlineLevel="0" collapsed="false">
      <c r="A17" s="8" t="n">
        <v>0.889837</v>
      </c>
      <c r="B17" s="8" t="n">
        <v>0.015735</v>
      </c>
      <c r="C17" s="8" t="n">
        <f aca="false">B17*$E$1</f>
        <v>1.4161499992445</v>
      </c>
      <c r="D17" s="8" t="n">
        <f aca="false">$G$1+$K$1+$L$1</f>
        <v>225.000001255695</v>
      </c>
      <c r="E17" s="8" t="n">
        <f aca="false">-A17*$E$1-($G$1*TAN(RADIANS($H$1)))-$J$1</f>
        <v>-1009.82382437791</v>
      </c>
    </row>
    <row r="18" customFormat="false" ht="15" hidden="false" customHeight="true" outlineLevel="0" collapsed="false">
      <c r="A18" s="8" t="n">
        <v>0.874255</v>
      </c>
      <c r="B18" s="8" t="n">
        <v>0.017635</v>
      </c>
      <c r="C18" s="8" t="n">
        <f aca="false">B18*$E$1</f>
        <v>1.58714999915327</v>
      </c>
      <c r="D18" s="8" t="n">
        <f aca="false">$G$1+$K$1+$L$1</f>
        <v>225.000001255695</v>
      </c>
      <c r="E18" s="8" t="n">
        <f aca="false">-A18*$E$1-($G$1*TAN(RADIANS($H$1)))-$J$1</f>
        <v>-1008.42144437865</v>
      </c>
    </row>
    <row r="19" customFormat="false" ht="15" hidden="false" customHeight="true" outlineLevel="0" collapsed="false">
      <c r="A19" s="8" t="n">
        <v>0.8578</v>
      </c>
      <c r="B19" s="8" t="n">
        <v>0.019605</v>
      </c>
      <c r="C19" s="8" t="n">
        <f aca="false">B19*$E$1</f>
        <v>1.76444999905869</v>
      </c>
      <c r="D19" s="8" t="n">
        <f aca="false">$G$1+$K$1+$L$1</f>
        <v>225.000001255695</v>
      </c>
      <c r="E19" s="8" t="n">
        <f aca="false">-A19*$E$1-($G$1*TAN(RADIANS($H$1)))-$J$1</f>
        <v>-1006.94049437944</v>
      </c>
    </row>
    <row r="20" customFormat="false" ht="15" hidden="false" customHeight="true" outlineLevel="0" collapsed="false">
      <c r="A20" s="8" t="n">
        <v>0.840508</v>
      </c>
      <c r="B20" s="8" t="n">
        <v>0.021635</v>
      </c>
      <c r="C20" s="8" t="n">
        <f aca="false">B20*$E$1</f>
        <v>1.94714999896122</v>
      </c>
      <c r="D20" s="8" t="n">
        <f aca="false">$G$1+$K$1+$L$1</f>
        <v>225.000001255695</v>
      </c>
      <c r="E20" s="8" t="n">
        <f aca="false">-A20*$E$1-($G$1*TAN(RADIANS($H$1)))-$J$1</f>
        <v>-1005.38421438027</v>
      </c>
    </row>
    <row r="21" customFormat="false" ht="15" hidden="false" customHeight="true" outlineLevel="0" collapsed="false">
      <c r="A21" s="8" t="n">
        <v>0.822421</v>
      </c>
      <c r="B21" s="8" t="n">
        <v>0.023714</v>
      </c>
      <c r="C21" s="8" t="n">
        <f aca="false">B21*$E$1</f>
        <v>2.1342599988614</v>
      </c>
      <c r="D21" s="8" t="n">
        <f aca="false">$G$1+$K$1+$L$1</f>
        <v>225.000001255695</v>
      </c>
      <c r="E21" s="8" t="n">
        <f aca="false">-A21*$E$1-($G$1*TAN(RADIANS($H$1)))-$J$1</f>
        <v>-1003.75638438114</v>
      </c>
    </row>
    <row r="22" customFormat="false" ht="15" hidden="false" customHeight="true" outlineLevel="0" collapsed="false">
      <c r="A22" s="8" t="n">
        <v>0.803581</v>
      </c>
      <c r="B22" s="8" t="n">
        <v>0.025834</v>
      </c>
      <c r="C22" s="8" t="n">
        <f aca="false">B22*$E$1</f>
        <v>2.32505999875961</v>
      </c>
      <c r="D22" s="8" t="n">
        <f aca="false">$G$1+$K$1+$L$1</f>
        <v>225.000001255695</v>
      </c>
      <c r="E22" s="8" t="n">
        <f aca="false">-A22*$E$1-($G$1*TAN(RADIANS($H$1)))-$J$1</f>
        <v>-1002.06078438205</v>
      </c>
    </row>
    <row r="23" customFormat="false" ht="15" hidden="false" customHeight="true" outlineLevel="0" collapsed="false">
      <c r="A23" s="8" t="n">
        <v>0.784032</v>
      </c>
      <c r="B23" s="8" t="n">
        <v>0.027983</v>
      </c>
      <c r="C23" s="8" t="n">
        <f aca="false">B23*$E$1</f>
        <v>2.51846999865642</v>
      </c>
      <c r="D23" s="8" t="n">
        <f aca="false">$G$1+$K$1+$L$1</f>
        <v>225.000001255695</v>
      </c>
      <c r="E23" s="8" t="n">
        <f aca="false">-A23*$E$1-($G$1*TAN(RADIANS($H$1)))-$J$1</f>
        <v>-1000.30137438299</v>
      </c>
    </row>
    <row r="24" customFormat="false" ht="15" hidden="false" customHeight="true" outlineLevel="0" collapsed="false">
      <c r="A24" s="8" t="n">
        <v>0.76382</v>
      </c>
      <c r="B24" s="8" t="n">
        <v>0.030152</v>
      </c>
      <c r="C24" s="8" t="n">
        <f aca="false">B24*$E$1</f>
        <v>2.71367999855228</v>
      </c>
      <c r="D24" s="8" t="n">
        <f aca="false">$G$1+$K$1+$L$1</f>
        <v>225.000001255695</v>
      </c>
      <c r="E24" s="8" t="n">
        <f aca="false">-A24*$E$1-($G$1*TAN(RADIANS($H$1)))-$J$1</f>
        <v>-998.482294383956</v>
      </c>
    </row>
    <row r="25" customFormat="false" ht="15" hidden="false" customHeight="true" outlineLevel="0" collapsed="false">
      <c r="A25" s="8" t="n">
        <v>0.742992</v>
      </c>
      <c r="B25" s="8" t="n">
        <v>0.032329</v>
      </c>
      <c r="C25" s="8" t="n">
        <f aca="false">B25*$E$1</f>
        <v>2.90960999844776</v>
      </c>
      <c r="D25" s="8" t="n">
        <f aca="false">$G$1+$K$1+$L$1</f>
        <v>225.000001255695</v>
      </c>
      <c r="E25" s="8" t="n">
        <f aca="false">-A25*$E$1-($G$1*TAN(RADIANS($H$1)))-$J$1</f>
        <v>-996.607774384956</v>
      </c>
    </row>
    <row r="26" customFormat="false" ht="15" hidden="false" customHeight="true" outlineLevel="0" collapsed="false">
      <c r="A26" s="8" t="n">
        <v>0.721596</v>
      </c>
      <c r="B26" s="8" t="n">
        <v>0.034506</v>
      </c>
      <c r="C26" s="8" t="n">
        <f aca="false">B26*$E$1</f>
        <v>3.10553999834323</v>
      </c>
      <c r="D26" s="8" t="n">
        <f aca="false">$G$1+$K$1+$L$1</f>
        <v>225.000001255695</v>
      </c>
      <c r="E26" s="8" t="n">
        <f aca="false">-A26*$E$1-($G$1*TAN(RADIANS($H$1)))-$J$1</f>
        <v>-994.682134385983</v>
      </c>
    </row>
    <row r="27" customFormat="false" ht="15" hidden="false" customHeight="true" outlineLevel="0" collapsed="false">
      <c r="A27" s="8" t="n">
        <v>0.699682</v>
      </c>
      <c r="B27" s="8" t="n">
        <v>0.03667</v>
      </c>
      <c r="C27" s="8" t="n">
        <f aca="false">B27*$E$1</f>
        <v>3.30029999823933</v>
      </c>
      <c r="D27" s="8" t="n">
        <f aca="false">$G$1+$K$1+$L$1</f>
        <v>225.000001255695</v>
      </c>
      <c r="E27" s="8" t="n">
        <f aca="false">-A27*$E$1-($G$1*TAN(RADIANS($H$1)))-$J$1</f>
        <v>-992.709874387035</v>
      </c>
    </row>
    <row r="28" customFormat="false" ht="15" hidden="false" customHeight="true" outlineLevel="0" collapsed="false">
      <c r="A28" s="8" t="n">
        <v>0.677303</v>
      </c>
      <c r="B28" s="8" t="n">
        <v>0.038811</v>
      </c>
      <c r="C28" s="8" t="n">
        <f aca="false">B28*$E$1</f>
        <v>3.49298999813653</v>
      </c>
      <c r="D28" s="8" t="n">
        <f aca="false">$G$1+$K$1+$L$1</f>
        <v>225.000001255695</v>
      </c>
      <c r="E28" s="8" t="n">
        <f aca="false">-A28*$E$1-($G$1*TAN(RADIANS($H$1)))-$J$1</f>
        <v>-990.69576438811</v>
      </c>
    </row>
    <row r="29" customFormat="false" ht="15" hidden="false" customHeight="true" outlineLevel="0" collapsed="false">
      <c r="A29" s="8" t="n">
        <v>0.654509</v>
      </c>
      <c r="B29" s="8" t="n">
        <v>0.040917</v>
      </c>
      <c r="C29" s="8" t="n">
        <f aca="false">B29*$E$1</f>
        <v>3.68252999803541</v>
      </c>
      <c r="D29" s="8" t="n">
        <f aca="false">$G$1+$K$1+$L$1</f>
        <v>225.000001255695</v>
      </c>
      <c r="E29" s="8" t="n">
        <f aca="false">-A29*$E$1-($G$1*TAN(RADIANS($H$1)))-$J$1</f>
        <v>-988.644304389204</v>
      </c>
    </row>
    <row r="30" customFormat="false" ht="15" hidden="false" customHeight="true" outlineLevel="0" collapsed="false">
      <c r="A30" s="8" t="n">
        <v>0.631354</v>
      </c>
      <c r="B30" s="8" t="n">
        <v>0.042978</v>
      </c>
      <c r="C30" s="8" t="n">
        <f aca="false">B30*$E$1</f>
        <v>3.86801999793645</v>
      </c>
      <c r="D30" s="8" t="n">
        <f aca="false">$G$1+$K$1+$L$1</f>
        <v>225.000001255695</v>
      </c>
      <c r="E30" s="8" t="n">
        <f aca="false">-A30*$E$1-($G$1*TAN(RADIANS($H$1)))-$J$1</f>
        <v>-986.560354390316</v>
      </c>
    </row>
    <row r="31" customFormat="false" ht="15" hidden="false" customHeight="true" outlineLevel="0" collapsed="false">
      <c r="A31" s="8" t="n">
        <v>0.607892</v>
      </c>
      <c r="B31" s="8" t="n">
        <v>0.04498</v>
      </c>
      <c r="C31" s="8" t="n">
        <f aca="false">B31*$E$1</f>
        <v>4.04819999784033</v>
      </c>
      <c r="D31" s="8" t="n">
        <f aca="false">$G$1+$K$1+$L$1</f>
        <v>225.000001255695</v>
      </c>
      <c r="E31" s="8" t="n">
        <f aca="false">-A31*$E$1-($G$1*TAN(RADIANS($H$1)))-$J$1</f>
        <v>-984.448774391442</v>
      </c>
    </row>
    <row r="32" customFormat="false" ht="15" hidden="false" customHeight="true" outlineLevel="0" collapsed="false">
      <c r="A32" s="8" t="n">
        <v>0.584179</v>
      </c>
      <c r="B32" s="8" t="n">
        <v>0.046912</v>
      </c>
      <c r="C32" s="8" t="n">
        <f aca="false">B32*$E$1</f>
        <v>4.22207999774757</v>
      </c>
      <c r="D32" s="8" t="n">
        <f aca="false">$G$1+$K$1+$L$1</f>
        <v>225.000001255695</v>
      </c>
      <c r="E32" s="8" t="n">
        <f aca="false">-A32*$E$1-($G$1*TAN(RADIANS($H$1)))-$J$1</f>
        <v>-982.314604392581</v>
      </c>
    </row>
    <row r="33" customFormat="false" ht="15" hidden="false" customHeight="true" outlineLevel="0" collapsed="false">
      <c r="A33" s="8" t="n">
        <v>0.560268</v>
      </c>
      <c r="B33" s="8" t="n">
        <v>0.048762</v>
      </c>
      <c r="C33" s="8" t="n">
        <f aca="false">B33*$E$1</f>
        <v>4.38857999765874</v>
      </c>
      <c r="D33" s="8" t="n">
        <f aca="false">$G$1+$K$1+$L$1</f>
        <v>225.000001255695</v>
      </c>
      <c r="E33" s="8" t="n">
        <f aca="false">-A33*$E$1-($G$1*TAN(RADIANS($H$1)))-$J$1</f>
        <v>-980.162614393729</v>
      </c>
    </row>
    <row r="34" customFormat="false" ht="15" hidden="false" customHeight="true" outlineLevel="0" collapsed="false">
      <c r="A34" s="8" t="n">
        <v>0.536217</v>
      </c>
      <c r="B34" s="8" t="n">
        <v>0.050516</v>
      </c>
      <c r="C34" s="8" t="n">
        <f aca="false">B34*$E$1</f>
        <v>4.54643999757453</v>
      </c>
      <c r="D34" s="8" t="n">
        <f aca="false">$G$1+$K$1+$L$1</f>
        <v>225.000001255695</v>
      </c>
      <c r="E34" s="8" t="n">
        <f aca="false">-A34*$E$1-($G$1*TAN(RADIANS($H$1)))-$J$1</f>
        <v>-977.998024394884</v>
      </c>
    </row>
    <row r="35" customFormat="false" ht="15" hidden="false" customHeight="true" outlineLevel="0" collapsed="false">
      <c r="A35" s="8" t="n">
        <v>0.512082</v>
      </c>
      <c r="B35" s="8" t="n">
        <v>0.052162</v>
      </c>
      <c r="C35" s="8" t="n">
        <f aca="false">B35*$E$1</f>
        <v>4.69457999749549</v>
      </c>
      <c r="D35" s="8" t="n">
        <f aca="false">$G$1+$K$1+$L$1</f>
        <v>225.000001255695</v>
      </c>
      <c r="E35" s="8" t="n">
        <f aca="false">-A35*$E$1-($G$1*TAN(RADIANS($H$1)))-$J$1</f>
        <v>-975.825874396043</v>
      </c>
    </row>
    <row r="36" customFormat="false" ht="15" hidden="false" customHeight="true" outlineLevel="0" collapsed="false">
      <c r="A36" s="8" t="n">
        <v>0.487918</v>
      </c>
      <c r="B36" s="8" t="n">
        <v>0.053687</v>
      </c>
      <c r="C36" s="8" t="n">
        <f aca="false">B36*$E$1</f>
        <v>4.83182999742227</v>
      </c>
      <c r="D36" s="8" t="n">
        <f aca="false">$G$1+$K$1+$L$1</f>
        <v>225.000001255695</v>
      </c>
      <c r="E36" s="8" t="n">
        <f aca="false">-A36*$E$1-($G$1*TAN(RADIANS($H$1)))-$J$1</f>
        <v>-973.651114397203</v>
      </c>
    </row>
    <row r="37" customFormat="false" ht="15" hidden="false" customHeight="true" outlineLevel="0" collapsed="false">
      <c r="A37" s="8" t="n">
        <v>0.463783</v>
      </c>
      <c r="B37" s="8" t="n">
        <v>0.055077</v>
      </c>
      <c r="C37" s="8" t="n">
        <f aca="false">B37*$E$1</f>
        <v>4.95692999735553</v>
      </c>
      <c r="D37" s="8" t="n">
        <f aca="false">$G$1+$K$1+$L$1</f>
        <v>225.000001255695</v>
      </c>
      <c r="E37" s="8" t="n">
        <f aca="false">-A37*$E$1-($G$1*TAN(RADIANS($H$1)))-$J$1</f>
        <v>-971.478964398362</v>
      </c>
    </row>
    <row r="38" customFormat="false" ht="15" hidden="false" customHeight="true" outlineLevel="0" collapsed="false">
      <c r="A38" s="8" t="n">
        <v>0.439732</v>
      </c>
      <c r="B38" s="8" t="n">
        <v>0.05632</v>
      </c>
      <c r="C38" s="8" t="n">
        <f aca="false">B38*$E$1</f>
        <v>5.06879999729585</v>
      </c>
      <c r="D38" s="8" t="n">
        <f aca="false">$G$1+$K$1+$L$1</f>
        <v>225.000001255695</v>
      </c>
      <c r="E38" s="8" t="n">
        <f aca="false">-A38*$E$1-($G$1*TAN(RADIANS($H$1)))-$J$1</f>
        <v>-969.314374399517</v>
      </c>
    </row>
    <row r="39" customFormat="false" ht="15" hidden="false" customHeight="true" outlineLevel="0" collapsed="false">
      <c r="A39" s="8" t="n">
        <v>0.415822</v>
      </c>
      <c r="B39" s="8" t="n">
        <v>0.057403</v>
      </c>
      <c r="C39" s="8" t="n">
        <f aca="false">B39*$E$1</f>
        <v>5.16626999724385</v>
      </c>
      <c r="D39" s="8" t="n">
        <f aca="false">$G$1+$K$1+$L$1</f>
        <v>225.000001255695</v>
      </c>
      <c r="E39" s="8" t="n">
        <f aca="false">-A39*$E$1-($G$1*TAN(RADIANS($H$1)))-$J$1</f>
        <v>-967.162474400665</v>
      </c>
    </row>
    <row r="40" customFormat="false" ht="15" hidden="false" customHeight="true" outlineLevel="0" collapsed="false">
      <c r="A40" s="8" t="n">
        <v>0.392108</v>
      </c>
      <c r="B40" s="8" t="n">
        <v>0.058314</v>
      </c>
      <c r="C40" s="8" t="n">
        <f aca="false">B40*$E$1</f>
        <v>5.24825999720011</v>
      </c>
      <c r="D40" s="8" t="n">
        <f aca="false">$G$1+$K$1+$L$1</f>
        <v>225.000001255695</v>
      </c>
      <c r="E40" s="8" t="n">
        <f aca="false">-A40*$E$1-($G$1*TAN(RADIANS($H$1)))-$J$1</f>
        <v>-965.028214401803</v>
      </c>
    </row>
    <row r="41" customFormat="false" ht="15" hidden="false" customHeight="true" outlineLevel="0" collapsed="false">
      <c r="A41" s="8" t="n">
        <v>0.368646</v>
      </c>
      <c r="B41" s="8" t="n">
        <v>0.059042</v>
      </c>
      <c r="C41" s="8" t="n">
        <f aca="false">B41*$E$1</f>
        <v>5.31377999716516</v>
      </c>
      <c r="D41" s="8" t="n">
        <f aca="false">$G$1+$K$1+$L$1</f>
        <v>225.000001255695</v>
      </c>
      <c r="E41" s="8" t="n">
        <f aca="false">-A41*$E$1-($G$1*TAN(RADIANS($H$1)))-$J$1</f>
        <v>-962.91663440293</v>
      </c>
    </row>
    <row r="42" customFormat="false" ht="15" hidden="false" customHeight="true" outlineLevel="0" collapsed="false">
      <c r="A42" s="8" t="n">
        <v>0.345492</v>
      </c>
      <c r="B42" s="8" t="n">
        <v>0.059575</v>
      </c>
      <c r="C42" s="8" t="n">
        <f aca="false">B42*$E$1</f>
        <v>5.36174999713957</v>
      </c>
      <c r="D42" s="8" t="n">
        <f aca="false">$G$1+$K$1+$L$1</f>
        <v>225.000001255695</v>
      </c>
      <c r="E42" s="8" t="n">
        <f aca="false">-A42*$E$1-($G$1*TAN(RADIANS($H$1)))-$J$1</f>
        <v>-960.832774404041</v>
      </c>
    </row>
    <row r="43" customFormat="false" ht="15" hidden="false" customHeight="true" outlineLevel="0" collapsed="false">
      <c r="A43" s="8" t="n">
        <v>0.322698</v>
      </c>
      <c r="B43" s="8" t="n">
        <v>0.059903</v>
      </c>
      <c r="C43" s="8" t="n">
        <f aca="false">B43*$E$1</f>
        <v>5.39126999712382</v>
      </c>
      <c r="D43" s="8" t="n">
        <f aca="false">$G$1+$K$1+$L$1</f>
        <v>225.000001255695</v>
      </c>
      <c r="E43" s="8" t="n">
        <f aca="false">-A43*$E$1-($G$1*TAN(RADIANS($H$1)))-$J$1</f>
        <v>-958.781314405136</v>
      </c>
    </row>
    <row r="44" customFormat="false" ht="15" hidden="false" customHeight="true" outlineLevel="0" collapsed="false">
      <c r="A44" s="8" t="n">
        <v>0.300318</v>
      </c>
      <c r="B44" s="8" t="n">
        <v>0.060017</v>
      </c>
      <c r="C44" s="8" t="n">
        <f aca="false">B44*$E$1</f>
        <v>5.40152999711834</v>
      </c>
      <c r="D44" s="8" t="n">
        <f aca="false">$G$1+$K$1+$L$1</f>
        <v>225.000001255695</v>
      </c>
      <c r="E44" s="8" t="n">
        <f aca="false">-A44*$E$1-($G$1*TAN(RADIANS($H$1)))-$J$1</f>
        <v>-956.76711440621</v>
      </c>
    </row>
    <row r="45" customFormat="false" ht="15" hidden="false" customHeight="true" outlineLevel="0" collapsed="false">
      <c r="A45" s="8" t="n">
        <v>0.278404</v>
      </c>
      <c r="B45" s="8" t="n">
        <v>0.05991</v>
      </c>
      <c r="C45" s="8" t="n">
        <f aca="false">B45*$E$1</f>
        <v>5.39189999712348</v>
      </c>
      <c r="D45" s="8" t="n">
        <f aca="false">$G$1+$K$1+$L$1</f>
        <v>225.000001255695</v>
      </c>
      <c r="E45" s="8" t="n">
        <f aca="false">-A45*$E$1-($G$1*TAN(RADIANS($H$1)))-$J$1</f>
        <v>-954.794854407263</v>
      </c>
    </row>
    <row r="46" customFormat="false" ht="15" hidden="false" customHeight="true" outlineLevel="0" collapsed="false">
      <c r="A46" s="8" t="n">
        <v>0.257008</v>
      </c>
      <c r="B46" s="8" t="n">
        <v>0.059576</v>
      </c>
      <c r="C46" s="8" t="n">
        <f aca="false">B46*$E$1</f>
        <v>5.36183999713952</v>
      </c>
      <c r="D46" s="8" t="n">
        <f aca="false">$G$1+$K$1+$L$1</f>
        <v>225.000001255695</v>
      </c>
      <c r="E46" s="8" t="n">
        <f aca="false">-A46*$E$1-($G$1*TAN(RADIANS($H$1)))-$J$1</f>
        <v>-952.86921440829</v>
      </c>
    </row>
    <row r="47" customFormat="false" ht="15" hidden="false" customHeight="true" outlineLevel="0" collapsed="false">
      <c r="A47" s="8" t="n">
        <v>0.23618</v>
      </c>
      <c r="B47" s="8" t="n">
        <v>0.059008</v>
      </c>
      <c r="C47" s="8" t="n">
        <f aca="false">B47*$E$1</f>
        <v>5.31071999716679</v>
      </c>
      <c r="D47" s="8" t="n">
        <f aca="false">$G$1+$K$1+$L$1</f>
        <v>225.000001255695</v>
      </c>
      <c r="E47" s="8" t="n">
        <f aca="false">-A47*$E$1-($G$1*TAN(RADIANS($H$1)))-$J$1</f>
        <v>-950.99469440929</v>
      </c>
    </row>
    <row r="48" customFormat="false" ht="15" hidden="false" customHeight="true" outlineLevel="0" collapsed="false">
      <c r="A48" s="8" t="n">
        <v>0.215968</v>
      </c>
      <c r="B48" s="8" t="n">
        <v>0.058205</v>
      </c>
      <c r="C48" s="8" t="n">
        <f aca="false">B48*$E$1</f>
        <v>5.23844999720535</v>
      </c>
      <c r="D48" s="8" t="n">
        <f aca="false">$G$1+$K$1+$L$1</f>
        <v>225.000001255695</v>
      </c>
      <c r="E48" s="8" t="n">
        <f aca="false">-A48*$E$1-($G$1*TAN(RADIANS($H$1)))-$J$1</f>
        <v>-949.17561441026</v>
      </c>
    </row>
    <row r="49" customFormat="false" ht="15" hidden="false" customHeight="true" outlineLevel="0" collapsed="false">
      <c r="A49" s="8" t="n">
        <v>0.196419</v>
      </c>
      <c r="B49" s="8" t="n">
        <v>0.057164</v>
      </c>
      <c r="C49" s="8" t="n">
        <f aca="false">B49*$E$1</f>
        <v>5.14475999725533</v>
      </c>
      <c r="D49" s="8" t="n">
        <f aca="false">$G$1+$K$1+$L$1</f>
        <v>225.000001255695</v>
      </c>
      <c r="E49" s="8" t="n">
        <f aca="false">-A49*$E$1-($G$1*TAN(RADIANS($H$1)))-$J$1</f>
        <v>-947.416204411199</v>
      </c>
    </row>
    <row r="50" customFormat="false" ht="15" hidden="false" customHeight="true" outlineLevel="0" collapsed="false">
      <c r="A50" s="8" t="n">
        <v>0.177579</v>
      </c>
      <c r="B50" s="8" t="n">
        <v>0.055886</v>
      </c>
      <c r="C50" s="8" t="n">
        <f aca="false">B50*$E$1</f>
        <v>5.02973999731669</v>
      </c>
      <c r="D50" s="8" t="n">
        <f aca="false">$G$1+$K$1+$L$1</f>
        <v>225.000001255695</v>
      </c>
      <c r="E50" s="8" t="n">
        <f aca="false">-A50*$E$1-($G$1*TAN(RADIANS($H$1)))-$J$1</f>
        <v>-945.720604412104</v>
      </c>
    </row>
    <row r="51" customFormat="false" ht="15" hidden="false" customHeight="true" outlineLevel="0" collapsed="false">
      <c r="A51" s="8" t="n">
        <v>0.159492</v>
      </c>
      <c r="B51" s="8" t="n">
        <v>0.054372</v>
      </c>
      <c r="C51" s="8" t="n">
        <f aca="false">B51*$E$1</f>
        <v>4.89347999738938</v>
      </c>
      <c r="D51" s="8" t="n">
        <f aca="false">$G$1+$K$1+$L$1</f>
        <v>225.000001255695</v>
      </c>
      <c r="E51" s="8" t="n">
        <f aca="false">-A51*$E$1-($G$1*TAN(RADIANS($H$1)))-$J$1</f>
        <v>-944.092774412972</v>
      </c>
    </row>
    <row r="52" customFormat="false" ht="15" hidden="false" customHeight="true" outlineLevel="0" collapsed="false">
      <c r="A52" s="8" t="n">
        <v>0.142201</v>
      </c>
      <c r="B52" s="8" t="n">
        <v>0.052625</v>
      </c>
      <c r="C52" s="8" t="n">
        <f aca="false">B52*$E$1</f>
        <v>4.73624999747326</v>
      </c>
      <c r="D52" s="8" t="n">
        <f aca="false">$G$1+$K$1+$L$1</f>
        <v>225.000001255695</v>
      </c>
      <c r="E52" s="8" t="n">
        <f aca="false">-A52*$E$1-($G$1*TAN(RADIANS($H$1)))-$J$1</f>
        <v>-942.536584413802</v>
      </c>
    </row>
    <row r="53" customFormat="false" ht="15" hidden="false" customHeight="true" outlineLevel="0" collapsed="false">
      <c r="A53" s="8" t="n">
        <v>0.125745</v>
      </c>
      <c r="B53" s="8" t="n">
        <v>0.050651</v>
      </c>
      <c r="C53" s="8" t="n">
        <f aca="false">B53*$E$1</f>
        <v>4.55858999756804</v>
      </c>
      <c r="D53" s="8" t="n">
        <f aca="false">$G$1+$K$1+$L$1</f>
        <v>225.000001255695</v>
      </c>
      <c r="E53" s="8" t="n">
        <f aca="false">-A53*$E$1-($G$1*TAN(RADIANS($H$1)))-$J$1</f>
        <v>-941.055544414592</v>
      </c>
    </row>
    <row r="54" customFormat="false" ht="15" hidden="false" customHeight="true" outlineLevel="0" collapsed="false">
      <c r="A54" s="8" t="n">
        <v>0.110163</v>
      </c>
      <c r="B54" s="8" t="n">
        <v>0.048457</v>
      </c>
      <c r="C54" s="8" t="n">
        <f aca="false">B54*$E$1</f>
        <v>4.36112999767339</v>
      </c>
      <c r="D54" s="8" t="n">
        <f aca="false">$G$1+$K$1+$L$1</f>
        <v>225.000001255695</v>
      </c>
      <c r="E54" s="8" t="n">
        <f aca="false">-A54*$E$1-($G$1*TAN(RADIANS($H$1)))-$J$1</f>
        <v>-939.65316441534</v>
      </c>
    </row>
    <row r="55" customFormat="false" ht="15" hidden="false" customHeight="true" outlineLevel="0" collapsed="false">
      <c r="A55" s="8" t="n">
        <v>0.095492</v>
      </c>
      <c r="B55" s="8" t="n">
        <v>0.046049</v>
      </c>
      <c r="C55" s="8" t="n">
        <f aca="false">B55*$E$1</f>
        <v>4.144409997789</v>
      </c>
      <c r="D55" s="8" t="n">
        <f aca="false">$G$1+$K$1+$L$1</f>
        <v>225.000001255695</v>
      </c>
      <c r="E55" s="8" t="n">
        <f aca="false">-A55*$E$1-($G$1*TAN(RADIANS($H$1)))-$J$1</f>
        <v>-938.332774416045</v>
      </c>
    </row>
    <row r="56" customFormat="false" ht="15" hidden="false" customHeight="true" outlineLevel="0" collapsed="false">
      <c r="A56" s="8" t="n">
        <v>0.081765</v>
      </c>
      <c r="B56" s="8" t="n">
        <v>0.043437</v>
      </c>
      <c r="C56" s="8" t="n">
        <f aca="false">B56*$E$1</f>
        <v>3.90932999791442</v>
      </c>
      <c r="D56" s="8" t="n">
        <f aca="false">$G$1+$K$1+$L$1</f>
        <v>225.000001255695</v>
      </c>
      <c r="E56" s="8" t="n">
        <f aca="false">-A56*$E$1-($G$1*TAN(RADIANS($H$1)))-$J$1</f>
        <v>-937.097344416704</v>
      </c>
    </row>
    <row r="57" customFormat="false" ht="15" hidden="false" customHeight="true" outlineLevel="0" collapsed="false">
      <c r="A57" s="8" t="n">
        <v>0.069015</v>
      </c>
      <c r="B57" s="8" t="n">
        <v>0.040631</v>
      </c>
      <c r="C57" s="8" t="n">
        <f aca="false">B57*$E$1</f>
        <v>3.65678999804914</v>
      </c>
      <c r="D57" s="8" t="n">
        <f aca="false">$G$1+$K$1+$L$1</f>
        <v>225.000001255695</v>
      </c>
      <c r="E57" s="8" t="n">
        <f aca="false">-A57*$E$1-($G$1*TAN(RADIANS($H$1)))-$J$1</f>
        <v>-935.949844417316</v>
      </c>
    </row>
    <row r="58" customFormat="false" ht="15" hidden="false" customHeight="true" outlineLevel="0" collapsed="false">
      <c r="A58" s="8" t="n">
        <v>0.057272</v>
      </c>
      <c r="B58" s="8" t="n">
        <v>0.037641</v>
      </c>
      <c r="C58" s="8" t="n">
        <f aca="false">B58*$E$1</f>
        <v>3.38768999819271</v>
      </c>
      <c r="D58" s="8" t="n">
        <f aca="false">$G$1+$K$1+$L$1</f>
        <v>225.000001255695</v>
      </c>
      <c r="E58" s="8" t="n">
        <f aca="false">-A58*$E$1-($G$1*TAN(RADIANS($H$1)))-$J$1</f>
        <v>-934.89297441788</v>
      </c>
    </row>
    <row r="59" customFormat="false" ht="15" hidden="false" customHeight="true" outlineLevel="0" collapsed="false">
      <c r="A59" s="8" t="n">
        <v>0.046563</v>
      </c>
      <c r="B59" s="8" t="n">
        <v>0.034479</v>
      </c>
      <c r="C59" s="8" t="n">
        <f aca="false">B59*$E$1</f>
        <v>3.10310999834453</v>
      </c>
      <c r="D59" s="8" t="n">
        <f aca="false">$G$1+$K$1+$L$1</f>
        <v>225.000001255695</v>
      </c>
      <c r="E59" s="8" t="n">
        <f aca="false">-A59*$E$1-($G$1*TAN(RADIANS($H$1)))-$J$1</f>
        <v>-933.929164418394</v>
      </c>
    </row>
    <row r="60" customFormat="false" ht="15" hidden="false" customHeight="true" outlineLevel="0" collapsed="false">
      <c r="A60" s="8" t="n">
        <v>0.036913</v>
      </c>
      <c r="B60" s="8" t="n">
        <v>0.031156</v>
      </c>
      <c r="C60" s="8" t="n">
        <f aca="false">B60*$E$1</f>
        <v>2.80403999850408</v>
      </c>
      <c r="D60" s="8" t="n">
        <f aca="false">$G$1+$K$1+$L$1</f>
        <v>225.000001255695</v>
      </c>
      <c r="E60" s="8" t="n">
        <f aca="false">-A60*$E$1-($G$1*TAN(RADIANS($H$1)))-$J$1</f>
        <v>-933.060664418857</v>
      </c>
    </row>
    <row r="61" customFormat="false" ht="15" hidden="false" customHeight="true" outlineLevel="0" collapsed="false">
      <c r="A61" s="8" t="n">
        <v>0.028344</v>
      </c>
      <c r="B61" s="8" t="n">
        <v>0.027683</v>
      </c>
      <c r="C61" s="8" t="n">
        <f aca="false">B61*$E$1</f>
        <v>2.49146999867083</v>
      </c>
      <c r="D61" s="8" t="n">
        <f aca="false">$G$1+$K$1+$L$1</f>
        <v>225.000001255695</v>
      </c>
      <c r="E61" s="8" t="n">
        <f aca="false">-A61*$E$1-($G$1*TAN(RADIANS($H$1)))-$J$1</f>
        <v>-932.289454419269</v>
      </c>
    </row>
    <row r="62" customFormat="false" ht="15" hidden="false" customHeight="true" outlineLevel="0" collapsed="false">
      <c r="A62" s="8" t="n">
        <v>0.020877</v>
      </c>
      <c r="B62" s="8" t="n">
        <v>0.024071</v>
      </c>
      <c r="C62" s="8" t="n">
        <f aca="false">B62*$E$1</f>
        <v>2.16638999884426</v>
      </c>
      <c r="D62" s="8" t="n">
        <f aca="false">$G$1+$K$1+$L$1</f>
        <v>225.000001255695</v>
      </c>
      <c r="E62" s="8" t="n">
        <f aca="false">-A62*$E$1-($G$1*TAN(RADIANS($H$1)))-$J$1</f>
        <v>-931.617424419627</v>
      </c>
    </row>
    <row r="63" customFormat="false" ht="15" hidden="false" customHeight="true" outlineLevel="0" collapsed="false">
      <c r="A63" s="8" t="n">
        <v>0.014529</v>
      </c>
      <c r="B63" s="8" t="n">
        <v>0.02033</v>
      </c>
      <c r="C63" s="8" t="n">
        <f aca="false">B63*$E$1</f>
        <v>1.82969999902388</v>
      </c>
      <c r="D63" s="8" t="n">
        <f aca="false">$G$1+$K$1+$L$1</f>
        <v>225.000001255695</v>
      </c>
      <c r="E63" s="8" t="n">
        <f aca="false">-A63*$E$1-($G$1*TAN(RADIANS($H$1)))-$J$1</f>
        <v>-931.046104419932</v>
      </c>
    </row>
    <row r="64" customFormat="false" ht="15" hidden="false" customHeight="true" outlineLevel="0" collapsed="false">
      <c r="A64" s="8" t="n">
        <v>0.009315</v>
      </c>
      <c r="B64" s="8" t="n">
        <v>0.016471</v>
      </c>
      <c r="C64" s="8" t="n">
        <f aca="false">B64*$E$1</f>
        <v>1.48238999920916</v>
      </c>
      <c r="D64" s="8" t="n">
        <f aca="false">$G$1+$K$1+$L$1</f>
        <v>225.000001255695</v>
      </c>
      <c r="E64" s="8" t="n">
        <f aca="false">-A64*$E$1-($G$1*TAN(RADIANS($H$1)))-$J$1</f>
        <v>-930.576844420183</v>
      </c>
    </row>
    <row r="65" customFormat="false" ht="15" hidden="false" customHeight="true" outlineLevel="0" collapsed="false">
      <c r="A65" s="8" t="n">
        <v>0.005247</v>
      </c>
      <c r="B65" s="8" t="n">
        <v>0.012501</v>
      </c>
      <c r="C65" s="8" t="n">
        <f aca="false">B65*$E$1</f>
        <v>1.12508999939978</v>
      </c>
      <c r="D65" s="8" t="n">
        <f aca="false">$G$1+$K$1+$L$1</f>
        <v>225.000001255695</v>
      </c>
      <c r="E65" s="8" t="n">
        <f aca="false">-A65*$E$1-($G$1*TAN(RADIANS($H$1)))-$J$1</f>
        <v>-930.210724420378</v>
      </c>
    </row>
    <row r="66" customFormat="false" ht="15" hidden="false" customHeight="true" outlineLevel="0" collapsed="false">
      <c r="A66" s="8" t="n">
        <v>0.002334</v>
      </c>
      <c r="B66" s="8" t="n">
        <v>0.008429</v>
      </c>
      <c r="C66" s="8" t="n">
        <f aca="false">B66*$E$1</f>
        <v>0.75860999959529</v>
      </c>
      <c r="D66" s="8" t="n">
        <f aca="false">$G$1+$K$1+$L$1</f>
        <v>225.000001255695</v>
      </c>
      <c r="E66" s="8" t="n">
        <f aca="false">-A66*$E$1-($G$1*TAN(RADIANS($H$1)))-$J$1</f>
        <v>-929.948554420518</v>
      </c>
    </row>
    <row r="67" customFormat="false" ht="15" hidden="false" customHeight="true" outlineLevel="0" collapsed="false">
      <c r="A67" s="8" t="n">
        <v>0.000584</v>
      </c>
      <c r="B67" s="8" t="n">
        <v>0.00426</v>
      </c>
      <c r="C67" s="8" t="n">
        <f aca="false">B67*$E$1</f>
        <v>0.38339999979546</v>
      </c>
      <c r="D67" s="8" t="n">
        <f aca="false">$G$1+$K$1+$L$1</f>
        <v>225.000001255695</v>
      </c>
      <c r="E67" s="8" t="n">
        <f aca="false">-A67*$E$1-($G$1*TAN(RADIANS($H$1)))-$J$1</f>
        <v>-929.791054420602</v>
      </c>
    </row>
    <row r="68" customFormat="false" ht="15" hidden="false" customHeight="true" outlineLevel="0" collapsed="false">
      <c r="A68" s="8" t="n">
        <v>0</v>
      </c>
      <c r="B68" s="8" t="n">
        <v>0</v>
      </c>
      <c r="C68" s="8" t="n">
        <f aca="false">B68*$E$1</f>
        <v>0</v>
      </c>
      <c r="D68" s="8" t="n">
        <f aca="false">$G$1+$K$1+$L$1</f>
        <v>225.000001255695</v>
      </c>
      <c r="E68" s="8" t="n">
        <f aca="false">-A68*$E$1-($G$1*TAN(RADIANS($H$1)))-$J$1</f>
        <v>-929.73849442063</v>
      </c>
    </row>
    <row r="69" customFormat="false" ht="15" hidden="false" customHeight="true" outlineLevel="0" collapsed="false">
      <c r="A69" s="8" t="n">
        <v>0.000584</v>
      </c>
      <c r="B69" s="8" t="n">
        <v>-0.00426</v>
      </c>
      <c r="C69" s="8" t="n">
        <f aca="false">B69*$E$1</f>
        <v>-0.38339999979546</v>
      </c>
      <c r="D69" s="8" t="n">
        <f aca="false">$G$1+$K$1+$L$1</f>
        <v>225.000001255695</v>
      </c>
      <c r="E69" s="8" t="n">
        <f aca="false">-A69*$E$1-($G$1*TAN(RADIANS($H$1)))-$J$1</f>
        <v>-929.791054420602</v>
      </c>
    </row>
    <row r="70" customFormat="false" ht="15" hidden="false" customHeight="true" outlineLevel="0" collapsed="false">
      <c r="A70" s="8" t="n">
        <v>0.002334</v>
      </c>
      <c r="B70" s="8" t="n">
        <v>-0.008429</v>
      </c>
      <c r="C70" s="8" t="n">
        <f aca="false">B70*$E$1</f>
        <v>-0.75860999959529</v>
      </c>
      <c r="D70" s="8" t="n">
        <f aca="false">$G$1+$K$1+$L$1</f>
        <v>225.000001255695</v>
      </c>
      <c r="E70" s="8" t="n">
        <f aca="false">-A70*$E$1-($G$1*TAN(RADIANS($H$1)))-$J$1</f>
        <v>-929.948554420518</v>
      </c>
    </row>
    <row r="71" customFormat="false" ht="15" hidden="false" customHeight="true" outlineLevel="0" collapsed="false">
      <c r="A71" s="8" t="n">
        <v>0.005247</v>
      </c>
      <c r="B71" s="8" t="n">
        <v>-0.012501</v>
      </c>
      <c r="C71" s="8" t="n">
        <f aca="false">B71*$E$1</f>
        <v>-1.12508999939978</v>
      </c>
      <c r="D71" s="8" t="n">
        <f aca="false">$G$1+$K$1+$L$1</f>
        <v>225.000001255695</v>
      </c>
      <c r="E71" s="8" t="n">
        <f aca="false">-A71*$E$1-($G$1*TAN(RADIANS($H$1)))-$J$1</f>
        <v>-930.210724420378</v>
      </c>
    </row>
    <row r="72" customFormat="false" ht="15" hidden="false" customHeight="true" outlineLevel="0" collapsed="false">
      <c r="A72" s="8" t="n">
        <v>0.009315</v>
      </c>
      <c r="B72" s="8" t="n">
        <v>-0.016471</v>
      </c>
      <c r="C72" s="8" t="n">
        <f aca="false">B72*$E$1</f>
        <v>-1.48238999920916</v>
      </c>
      <c r="D72" s="8" t="n">
        <f aca="false">$G$1+$K$1+$L$1</f>
        <v>225.000001255695</v>
      </c>
      <c r="E72" s="8" t="n">
        <f aca="false">-A72*$E$1-($G$1*TAN(RADIANS($H$1)))-$J$1</f>
        <v>-930.576844420183</v>
      </c>
    </row>
    <row r="73" customFormat="false" ht="15" hidden="false" customHeight="true" outlineLevel="0" collapsed="false">
      <c r="A73" s="8" t="n">
        <v>0.014529</v>
      </c>
      <c r="B73" s="8" t="n">
        <v>-0.02033</v>
      </c>
      <c r="C73" s="8" t="n">
        <f aca="false">B73*$E$1</f>
        <v>-1.82969999902388</v>
      </c>
      <c r="D73" s="8" t="n">
        <f aca="false">$G$1+$K$1+$L$1</f>
        <v>225.000001255695</v>
      </c>
      <c r="E73" s="8" t="n">
        <f aca="false">-A73*$E$1-($G$1*TAN(RADIANS($H$1)))-$J$1</f>
        <v>-931.046104419932</v>
      </c>
    </row>
    <row r="74" customFormat="false" ht="15" hidden="false" customHeight="true" outlineLevel="0" collapsed="false">
      <c r="A74" s="8" t="n">
        <v>0.020877</v>
      </c>
      <c r="B74" s="8" t="n">
        <v>-0.024071</v>
      </c>
      <c r="C74" s="8" t="n">
        <f aca="false">B74*$E$1</f>
        <v>-2.16638999884426</v>
      </c>
      <c r="D74" s="8" t="n">
        <f aca="false">$G$1+$K$1+$L$1</f>
        <v>225.000001255695</v>
      </c>
      <c r="E74" s="8" t="n">
        <f aca="false">-A74*$E$1-($G$1*TAN(RADIANS($H$1)))-$J$1</f>
        <v>-931.617424419627</v>
      </c>
    </row>
    <row r="75" customFormat="false" ht="15" hidden="false" customHeight="true" outlineLevel="0" collapsed="false">
      <c r="A75" s="8" t="n">
        <v>0.028344</v>
      </c>
      <c r="B75" s="8" t="n">
        <v>-0.027683</v>
      </c>
      <c r="C75" s="8" t="n">
        <f aca="false">B75*$E$1</f>
        <v>-2.49146999867083</v>
      </c>
      <c r="D75" s="8" t="n">
        <f aca="false">$G$1+$K$1+$L$1</f>
        <v>225.000001255695</v>
      </c>
      <c r="E75" s="8" t="n">
        <f aca="false">-A75*$E$1-($G$1*TAN(RADIANS($H$1)))-$J$1</f>
        <v>-932.289454419269</v>
      </c>
    </row>
    <row r="76" customFormat="false" ht="15" hidden="false" customHeight="true" outlineLevel="0" collapsed="false">
      <c r="A76" s="8" t="n">
        <v>0.036913</v>
      </c>
      <c r="B76" s="8" t="n">
        <v>-0.031156</v>
      </c>
      <c r="C76" s="8" t="n">
        <f aca="false">B76*$E$1</f>
        <v>-2.80403999850408</v>
      </c>
      <c r="D76" s="8" t="n">
        <f aca="false">$G$1+$K$1+$L$1</f>
        <v>225.000001255695</v>
      </c>
      <c r="E76" s="8" t="n">
        <f aca="false">-A76*$E$1-($G$1*TAN(RADIANS($H$1)))-$J$1</f>
        <v>-933.060664418857</v>
      </c>
    </row>
    <row r="77" customFormat="false" ht="15" hidden="false" customHeight="true" outlineLevel="0" collapsed="false">
      <c r="A77" s="8" t="n">
        <v>0.046563</v>
      </c>
      <c r="B77" s="8" t="n">
        <v>-0.034479</v>
      </c>
      <c r="C77" s="8" t="n">
        <f aca="false">B77*$E$1</f>
        <v>-3.10310999834453</v>
      </c>
      <c r="D77" s="8" t="n">
        <f aca="false">$G$1+$K$1+$L$1</f>
        <v>225.000001255695</v>
      </c>
      <c r="E77" s="8" t="n">
        <f aca="false">-A77*$E$1-($G$1*TAN(RADIANS($H$1)))-$J$1</f>
        <v>-933.929164418394</v>
      </c>
    </row>
    <row r="78" customFormat="false" ht="15" hidden="false" customHeight="true" outlineLevel="0" collapsed="false">
      <c r="A78" s="8" t="n">
        <v>0.057272</v>
      </c>
      <c r="B78" s="8" t="n">
        <v>-0.037641</v>
      </c>
      <c r="C78" s="8" t="n">
        <f aca="false">B78*$E$1</f>
        <v>-3.38768999819271</v>
      </c>
      <c r="D78" s="8" t="n">
        <f aca="false">$G$1+$K$1+$L$1</f>
        <v>225.000001255695</v>
      </c>
      <c r="E78" s="8" t="n">
        <f aca="false">-A78*$E$1-($G$1*TAN(RADIANS($H$1)))-$J$1</f>
        <v>-934.89297441788</v>
      </c>
    </row>
    <row r="79" customFormat="false" ht="15" hidden="false" customHeight="true" outlineLevel="0" collapsed="false">
      <c r="A79" s="8" t="n">
        <v>0.069015</v>
      </c>
      <c r="B79" s="8" t="n">
        <v>-0.040631</v>
      </c>
      <c r="C79" s="8" t="n">
        <f aca="false">B79*$E$1</f>
        <v>-3.65678999804914</v>
      </c>
      <c r="D79" s="8" t="n">
        <f aca="false">$G$1+$K$1+$L$1</f>
        <v>225.000001255695</v>
      </c>
      <c r="E79" s="8" t="n">
        <f aca="false">-A79*$E$1-($G$1*TAN(RADIANS($H$1)))-$J$1</f>
        <v>-935.949844417316</v>
      </c>
    </row>
    <row r="80" customFormat="false" ht="15" hidden="false" customHeight="true" outlineLevel="0" collapsed="false">
      <c r="A80" s="8" t="n">
        <v>0.081765</v>
      </c>
      <c r="B80" s="8" t="n">
        <v>-0.043437</v>
      </c>
      <c r="C80" s="8" t="n">
        <f aca="false">B80*$E$1</f>
        <v>-3.90932999791442</v>
      </c>
      <c r="D80" s="8" t="n">
        <f aca="false">$G$1+$K$1+$L$1</f>
        <v>225.000001255695</v>
      </c>
      <c r="E80" s="8" t="n">
        <f aca="false">-A80*$E$1-($G$1*TAN(RADIANS($H$1)))-$J$1</f>
        <v>-937.097344416704</v>
      </c>
    </row>
    <row r="81" customFormat="false" ht="15" hidden="false" customHeight="true" outlineLevel="0" collapsed="false">
      <c r="A81" s="8" t="n">
        <v>0.095492</v>
      </c>
      <c r="B81" s="8" t="n">
        <v>-0.046049</v>
      </c>
      <c r="C81" s="8" t="n">
        <f aca="false">B81*$E$1</f>
        <v>-4.144409997789</v>
      </c>
      <c r="D81" s="8" t="n">
        <f aca="false">$G$1+$K$1+$L$1</f>
        <v>225.000001255695</v>
      </c>
      <c r="E81" s="8" t="n">
        <f aca="false">-A81*$E$1-($G$1*TAN(RADIANS($H$1)))-$J$1</f>
        <v>-938.332774416045</v>
      </c>
    </row>
    <row r="82" customFormat="false" ht="15" hidden="false" customHeight="true" outlineLevel="0" collapsed="false">
      <c r="A82" s="8" t="n">
        <v>0.110163</v>
      </c>
      <c r="B82" s="8" t="n">
        <v>-0.048457</v>
      </c>
      <c r="C82" s="8" t="n">
        <f aca="false">B82*$E$1</f>
        <v>-4.36112999767339</v>
      </c>
      <c r="D82" s="8" t="n">
        <f aca="false">$G$1+$K$1+$L$1</f>
        <v>225.000001255695</v>
      </c>
      <c r="E82" s="8" t="n">
        <f aca="false">-A82*$E$1-($G$1*TAN(RADIANS($H$1)))-$J$1</f>
        <v>-939.65316441534</v>
      </c>
    </row>
    <row r="83" customFormat="false" ht="15" hidden="false" customHeight="true" outlineLevel="0" collapsed="false">
      <c r="A83" s="8" t="n">
        <v>0.125745</v>
      </c>
      <c r="B83" s="8" t="n">
        <v>-0.050651</v>
      </c>
      <c r="C83" s="8" t="n">
        <f aca="false">B83*$E$1</f>
        <v>-4.55858999756804</v>
      </c>
      <c r="D83" s="8" t="n">
        <f aca="false">$G$1+$K$1+$L$1</f>
        <v>225.000001255695</v>
      </c>
      <c r="E83" s="8" t="n">
        <f aca="false">-A83*$E$1-($G$1*TAN(RADIANS($H$1)))-$J$1</f>
        <v>-941.055544414592</v>
      </c>
    </row>
    <row r="84" customFormat="false" ht="15" hidden="false" customHeight="true" outlineLevel="0" collapsed="false">
      <c r="A84" s="8" t="n">
        <v>0.142201</v>
      </c>
      <c r="B84" s="8" t="n">
        <v>-0.052625</v>
      </c>
      <c r="C84" s="8" t="n">
        <f aca="false">B84*$E$1</f>
        <v>-4.73624999747326</v>
      </c>
      <c r="D84" s="8" t="n">
        <f aca="false">$G$1+$K$1+$L$1</f>
        <v>225.000001255695</v>
      </c>
      <c r="E84" s="8" t="n">
        <f aca="false">-A84*$E$1-($G$1*TAN(RADIANS($H$1)))-$J$1</f>
        <v>-942.536584413802</v>
      </c>
    </row>
    <row r="85" customFormat="false" ht="15" hidden="false" customHeight="true" outlineLevel="0" collapsed="false">
      <c r="A85" s="8" t="n">
        <v>0.159492</v>
      </c>
      <c r="B85" s="8" t="n">
        <v>-0.054372</v>
      </c>
      <c r="C85" s="8" t="n">
        <f aca="false">B85*$E$1</f>
        <v>-4.89347999738938</v>
      </c>
      <c r="D85" s="8" t="n">
        <f aca="false">$G$1+$K$1+$L$1</f>
        <v>225.000001255695</v>
      </c>
      <c r="E85" s="8" t="n">
        <f aca="false">-A85*$E$1-($G$1*TAN(RADIANS($H$1)))-$J$1</f>
        <v>-944.092774412972</v>
      </c>
    </row>
    <row r="86" customFormat="false" ht="15" hidden="false" customHeight="true" outlineLevel="0" collapsed="false">
      <c r="A86" s="8" t="n">
        <v>0.177579</v>
      </c>
      <c r="B86" s="8" t="n">
        <v>-0.055886</v>
      </c>
      <c r="C86" s="8" t="n">
        <f aca="false">B86*$E$1</f>
        <v>-5.02973999731669</v>
      </c>
      <c r="D86" s="8" t="n">
        <f aca="false">$G$1+$K$1+$L$1</f>
        <v>225.000001255695</v>
      </c>
      <c r="E86" s="8" t="n">
        <f aca="false">-A86*$E$1-($G$1*TAN(RADIANS($H$1)))-$J$1</f>
        <v>-945.720604412104</v>
      </c>
    </row>
    <row r="87" customFormat="false" ht="15" hidden="false" customHeight="true" outlineLevel="0" collapsed="false">
      <c r="A87" s="8" t="n">
        <v>0.196419</v>
      </c>
      <c r="B87" s="8" t="n">
        <v>-0.057164</v>
      </c>
      <c r="C87" s="8" t="n">
        <f aca="false">B87*$E$1</f>
        <v>-5.14475999725533</v>
      </c>
      <c r="D87" s="8" t="n">
        <f aca="false">$G$1+$K$1+$L$1</f>
        <v>225.000001255695</v>
      </c>
      <c r="E87" s="8" t="n">
        <f aca="false">-A87*$E$1-($G$1*TAN(RADIANS($H$1)))-$J$1</f>
        <v>-947.416204411199</v>
      </c>
    </row>
    <row r="88" customFormat="false" ht="15" hidden="false" customHeight="true" outlineLevel="0" collapsed="false">
      <c r="A88" s="8" t="n">
        <v>0.215968</v>
      </c>
      <c r="B88" s="8" t="n">
        <v>-0.058205</v>
      </c>
      <c r="C88" s="8" t="n">
        <f aca="false">B88*$E$1</f>
        <v>-5.23844999720535</v>
      </c>
      <c r="D88" s="8" t="n">
        <f aca="false">$G$1+$K$1+$L$1</f>
        <v>225.000001255695</v>
      </c>
      <c r="E88" s="8" t="n">
        <f aca="false">-A88*$E$1-($G$1*TAN(RADIANS($H$1)))-$J$1</f>
        <v>-949.17561441026</v>
      </c>
    </row>
    <row r="89" customFormat="false" ht="15" hidden="false" customHeight="true" outlineLevel="0" collapsed="false">
      <c r="A89" s="8" t="n">
        <v>0.23618</v>
      </c>
      <c r="B89" s="8" t="n">
        <v>-0.059008</v>
      </c>
      <c r="C89" s="8" t="n">
        <f aca="false">B89*$E$1</f>
        <v>-5.31071999716679</v>
      </c>
      <c r="D89" s="8" t="n">
        <f aca="false">$G$1+$K$1+$L$1</f>
        <v>225.000001255695</v>
      </c>
      <c r="E89" s="8" t="n">
        <f aca="false">-A89*$E$1-($G$1*TAN(RADIANS($H$1)))-$J$1</f>
        <v>-950.99469440929</v>
      </c>
    </row>
    <row r="90" customFormat="false" ht="15" hidden="false" customHeight="true" outlineLevel="0" collapsed="false">
      <c r="A90" s="8" t="n">
        <v>0.257008</v>
      </c>
      <c r="B90" s="8" t="n">
        <v>-0.059576</v>
      </c>
      <c r="C90" s="8" t="n">
        <f aca="false">B90*$E$1</f>
        <v>-5.36183999713952</v>
      </c>
      <c r="D90" s="8" t="n">
        <f aca="false">$G$1+$K$1+$L$1</f>
        <v>225.000001255695</v>
      </c>
      <c r="E90" s="8" t="n">
        <f aca="false">-A90*$E$1-($G$1*TAN(RADIANS($H$1)))-$J$1</f>
        <v>-952.86921440829</v>
      </c>
    </row>
    <row r="91" customFormat="false" ht="15" hidden="false" customHeight="true" outlineLevel="0" collapsed="false">
      <c r="A91" s="8" t="n">
        <v>0.278404</v>
      </c>
      <c r="B91" s="8" t="n">
        <v>-0.05991</v>
      </c>
      <c r="C91" s="8" t="n">
        <f aca="false">B91*$E$1</f>
        <v>-5.39189999712348</v>
      </c>
      <c r="D91" s="8" t="n">
        <f aca="false">$G$1+$K$1+$L$1</f>
        <v>225.000001255695</v>
      </c>
      <c r="E91" s="8" t="n">
        <f aca="false">-A91*$E$1-($G$1*TAN(RADIANS($H$1)))-$J$1</f>
        <v>-954.794854407263</v>
      </c>
    </row>
    <row r="92" customFormat="false" ht="15" hidden="false" customHeight="true" outlineLevel="0" collapsed="false">
      <c r="A92" s="8" t="n">
        <v>0.300318</v>
      </c>
      <c r="B92" s="8" t="n">
        <v>-0.060017</v>
      </c>
      <c r="C92" s="8" t="n">
        <f aca="false">B92*$E$1</f>
        <v>-5.40152999711834</v>
      </c>
      <c r="D92" s="8" t="n">
        <f aca="false">$G$1+$K$1+$L$1</f>
        <v>225.000001255695</v>
      </c>
      <c r="E92" s="8" t="n">
        <f aca="false">-A92*$E$1-($G$1*TAN(RADIANS($H$1)))-$J$1</f>
        <v>-956.76711440621</v>
      </c>
    </row>
    <row r="93" customFormat="false" ht="15" hidden="false" customHeight="true" outlineLevel="0" collapsed="false">
      <c r="A93" s="8" t="n">
        <v>0.322698</v>
      </c>
      <c r="B93" s="8" t="n">
        <v>-0.059903</v>
      </c>
      <c r="C93" s="8" t="n">
        <f aca="false">B93*$E$1</f>
        <v>-5.39126999712382</v>
      </c>
      <c r="D93" s="8" t="n">
        <f aca="false">$G$1+$K$1+$L$1</f>
        <v>225.000001255695</v>
      </c>
      <c r="E93" s="8" t="n">
        <f aca="false">-A93*$E$1-($G$1*TAN(RADIANS($H$1)))-$J$1</f>
        <v>-958.781314405136</v>
      </c>
    </row>
    <row r="94" customFormat="false" ht="15" hidden="false" customHeight="true" outlineLevel="0" collapsed="false">
      <c r="A94" s="8" t="n">
        <v>0.345492</v>
      </c>
      <c r="B94" s="8" t="n">
        <v>-0.059575</v>
      </c>
      <c r="C94" s="8" t="n">
        <f aca="false">B94*$E$1</f>
        <v>-5.36174999713957</v>
      </c>
      <c r="D94" s="8" t="n">
        <f aca="false">$G$1+$K$1+$L$1</f>
        <v>225.000001255695</v>
      </c>
      <c r="E94" s="8" t="n">
        <f aca="false">-A94*$E$1-($G$1*TAN(RADIANS($H$1)))-$J$1</f>
        <v>-960.832774404041</v>
      </c>
    </row>
    <row r="95" customFormat="false" ht="15" hidden="false" customHeight="true" outlineLevel="0" collapsed="false">
      <c r="A95" s="8" t="n">
        <v>0.368646</v>
      </c>
      <c r="B95" s="8" t="n">
        <v>-0.059042</v>
      </c>
      <c r="C95" s="8" t="n">
        <f aca="false">B95*$E$1</f>
        <v>-5.31377999716516</v>
      </c>
      <c r="D95" s="8" t="n">
        <f aca="false">$G$1+$K$1+$L$1</f>
        <v>225.000001255695</v>
      </c>
      <c r="E95" s="8" t="n">
        <f aca="false">-A95*$E$1-($G$1*TAN(RADIANS($H$1)))-$J$1</f>
        <v>-962.91663440293</v>
      </c>
    </row>
    <row r="96" customFormat="false" ht="15" hidden="false" customHeight="true" outlineLevel="0" collapsed="false">
      <c r="A96" s="8" t="n">
        <v>0.392108</v>
      </c>
      <c r="B96" s="8" t="n">
        <v>-0.058314</v>
      </c>
      <c r="C96" s="8" t="n">
        <f aca="false">B96*$E$1</f>
        <v>-5.24825999720011</v>
      </c>
      <c r="D96" s="8" t="n">
        <f aca="false">$G$1+$K$1+$L$1</f>
        <v>225.000001255695</v>
      </c>
      <c r="E96" s="8" t="n">
        <f aca="false">-A96*$E$1-($G$1*TAN(RADIANS($H$1)))-$J$1</f>
        <v>-965.028214401803</v>
      </c>
    </row>
    <row r="97" customFormat="false" ht="15" hidden="false" customHeight="true" outlineLevel="0" collapsed="false">
      <c r="A97" s="8" t="n">
        <v>0.415822</v>
      </c>
      <c r="B97" s="8" t="n">
        <v>-0.057403</v>
      </c>
      <c r="C97" s="8" t="n">
        <f aca="false">B97*$E$1</f>
        <v>-5.16626999724385</v>
      </c>
      <c r="D97" s="8" t="n">
        <f aca="false">$G$1+$K$1+$L$1</f>
        <v>225.000001255695</v>
      </c>
      <c r="E97" s="8" t="n">
        <f aca="false">-A97*$E$1-($G$1*TAN(RADIANS($H$1)))-$J$1</f>
        <v>-967.162474400665</v>
      </c>
    </row>
    <row r="98" customFormat="false" ht="15" hidden="false" customHeight="true" outlineLevel="0" collapsed="false">
      <c r="A98" s="8" t="n">
        <v>0.439732</v>
      </c>
      <c r="B98" s="8" t="n">
        <v>-0.05632</v>
      </c>
      <c r="C98" s="8" t="n">
        <f aca="false">B98*$E$1</f>
        <v>-5.06879999729585</v>
      </c>
      <c r="D98" s="8" t="n">
        <f aca="false">$G$1+$K$1+$L$1</f>
        <v>225.000001255695</v>
      </c>
      <c r="E98" s="8" t="n">
        <f aca="false">-A98*$E$1-($G$1*TAN(RADIANS($H$1)))-$J$1</f>
        <v>-969.314374399517</v>
      </c>
    </row>
    <row r="99" customFormat="false" ht="15" hidden="false" customHeight="true" outlineLevel="0" collapsed="false">
      <c r="A99" s="8" t="n">
        <v>0.463783</v>
      </c>
      <c r="B99" s="8" t="n">
        <v>-0.055077</v>
      </c>
      <c r="C99" s="8" t="n">
        <f aca="false">B99*$E$1</f>
        <v>-4.95692999735553</v>
      </c>
      <c r="D99" s="8" t="n">
        <f aca="false">$G$1+$K$1+$L$1</f>
        <v>225.000001255695</v>
      </c>
      <c r="E99" s="8" t="n">
        <f aca="false">-A99*$E$1-($G$1*TAN(RADIANS($H$1)))-$J$1</f>
        <v>-971.478964398362</v>
      </c>
    </row>
    <row r="100" customFormat="false" ht="15" hidden="false" customHeight="true" outlineLevel="0" collapsed="false">
      <c r="A100" s="8" t="n">
        <v>0.487918</v>
      </c>
      <c r="B100" s="8" t="n">
        <v>-0.053687</v>
      </c>
      <c r="C100" s="8" t="n">
        <f aca="false">B100*$E$1</f>
        <v>-4.83182999742227</v>
      </c>
      <c r="D100" s="8" t="n">
        <f aca="false">$G$1+$K$1+$L$1</f>
        <v>225.000001255695</v>
      </c>
      <c r="E100" s="8" t="n">
        <f aca="false">-A100*$E$1-($G$1*TAN(RADIANS($H$1)))-$J$1</f>
        <v>-973.651114397203</v>
      </c>
    </row>
    <row r="101" customFormat="false" ht="15" hidden="false" customHeight="true" outlineLevel="0" collapsed="false">
      <c r="A101" s="8" t="n">
        <v>0.512082</v>
      </c>
      <c r="B101" s="8" t="n">
        <v>-0.052162</v>
      </c>
      <c r="C101" s="8" t="n">
        <f aca="false">B101*$E$1</f>
        <v>-4.69457999749549</v>
      </c>
      <c r="D101" s="8" t="n">
        <f aca="false">$G$1+$K$1+$L$1</f>
        <v>225.000001255695</v>
      </c>
      <c r="E101" s="8" t="n">
        <f aca="false">-A101*$E$1-($G$1*TAN(RADIANS($H$1)))-$J$1</f>
        <v>-975.825874396043</v>
      </c>
    </row>
    <row r="102" customFormat="false" ht="15" hidden="false" customHeight="true" outlineLevel="0" collapsed="false">
      <c r="A102" s="8" t="n">
        <v>0.536217</v>
      </c>
      <c r="B102" s="8" t="n">
        <v>-0.050516</v>
      </c>
      <c r="C102" s="8" t="n">
        <f aca="false">B102*$E$1</f>
        <v>-4.54643999757453</v>
      </c>
      <c r="D102" s="8" t="n">
        <f aca="false">$G$1+$K$1+$L$1</f>
        <v>225.000001255695</v>
      </c>
      <c r="E102" s="8" t="n">
        <f aca="false">-A102*$E$1-($G$1*TAN(RADIANS($H$1)))-$J$1</f>
        <v>-977.998024394884</v>
      </c>
    </row>
    <row r="103" customFormat="false" ht="15" hidden="false" customHeight="true" outlineLevel="0" collapsed="false">
      <c r="A103" s="8" t="n">
        <v>0.560268</v>
      </c>
      <c r="B103" s="8" t="n">
        <v>-0.048762</v>
      </c>
      <c r="C103" s="8" t="n">
        <f aca="false">B103*$E$1</f>
        <v>-4.38857999765874</v>
      </c>
      <c r="D103" s="8" t="n">
        <f aca="false">$G$1+$K$1+$L$1</f>
        <v>225.000001255695</v>
      </c>
      <c r="E103" s="8" t="n">
        <f aca="false">-A103*$E$1-($G$1*TAN(RADIANS($H$1)))-$J$1</f>
        <v>-980.162614393729</v>
      </c>
    </row>
    <row r="104" customFormat="false" ht="15" hidden="false" customHeight="true" outlineLevel="0" collapsed="false">
      <c r="A104" s="8" t="n">
        <v>0.584179</v>
      </c>
      <c r="B104" s="8" t="n">
        <v>-0.046912</v>
      </c>
      <c r="C104" s="8" t="n">
        <f aca="false">B104*$E$1</f>
        <v>-4.22207999774757</v>
      </c>
      <c r="D104" s="8" t="n">
        <f aca="false">$G$1+$K$1+$L$1</f>
        <v>225.000001255695</v>
      </c>
      <c r="E104" s="8" t="n">
        <f aca="false">-A104*$E$1-($G$1*TAN(RADIANS($H$1)))-$J$1</f>
        <v>-982.314604392581</v>
      </c>
    </row>
    <row r="105" customFormat="false" ht="15" hidden="false" customHeight="true" outlineLevel="0" collapsed="false">
      <c r="A105" s="8" t="n">
        <v>0.607892</v>
      </c>
      <c r="B105" s="8" t="n">
        <v>-0.04498</v>
      </c>
      <c r="C105" s="8" t="n">
        <f aca="false">B105*$E$1</f>
        <v>-4.04819999784033</v>
      </c>
      <c r="D105" s="8" t="n">
        <f aca="false">$G$1+$K$1+$L$1</f>
        <v>225.000001255695</v>
      </c>
      <c r="E105" s="8" t="n">
        <f aca="false">-A105*$E$1-($G$1*TAN(RADIANS($H$1)))-$J$1</f>
        <v>-984.448774391442</v>
      </c>
    </row>
    <row r="106" customFormat="false" ht="15" hidden="false" customHeight="true" outlineLevel="0" collapsed="false">
      <c r="A106" s="8" t="n">
        <v>0.631354</v>
      </c>
      <c r="B106" s="8" t="n">
        <v>-0.042978</v>
      </c>
      <c r="C106" s="8" t="n">
        <f aca="false">B106*$E$1</f>
        <v>-3.86801999793645</v>
      </c>
      <c r="D106" s="8" t="n">
        <f aca="false">$G$1+$K$1+$L$1</f>
        <v>225.000001255695</v>
      </c>
      <c r="E106" s="8" t="n">
        <f aca="false">-A106*$E$1-($G$1*TAN(RADIANS($H$1)))-$J$1</f>
        <v>-986.560354390316</v>
      </c>
    </row>
    <row r="107" customFormat="false" ht="15" hidden="false" customHeight="true" outlineLevel="0" collapsed="false">
      <c r="A107" s="8" t="n">
        <v>0.654509</v>
      </c>
      <c r="B107" s="8" t="n">
        <v>-0.040917</v>
      </c>
      <c r="C107" s="8" t="n">
        <f aca="false">B107*$E$1</f>
        <v>-3.68252999803541</v>
      </c>
      <c r="D107" s="8" t="n">
        <f aca="false">$G$1+$K$1+$L$1</f>
        <v>225.000001255695</v>
      </c>
      <c r="E107" s="8" t="n">
        <f aca="false">-A107*$E$1-($G$1*TAN(RADIANS($H$1)))-$J$1</f>
        <v>-988.644304389204</v>
      </c>
    </row>
    <row r="108" customFormat="false" ht="15" hidden="false" customHeight="true" outlineLevel="0" collapsed="false">
      <c r="A108" s="8" t="n">
        <v>0.677303</v>
      </c>
      <c r="B108" s="8" t="n">
        <v>-0.038811</v>
      </c>
      <c r="C108" s="8" t="n">
        <f aca="false">B108*$E$1</f>
        <v>-3.49298999813653</v>
      </c>
      <c r="D108" s="8" t="n">
        <f aca="false">$G$1+$K$1+$L$1</f>
        <v>225.000001255695</v>
      </c>
      <c r="E108" s="8" t="n">
        <f aca="false">-A108*$E$1-($G$1*TAN(RADIANS($H$1)))-$J$1</f>
        <v>-990.69576438811</v>
      </c>
    </row>
    <row r="109" customFormat="false" ht="15" hidden="false" customHeight="true" outlineLevel="0" collapsed="false">
      <c r="A109" s="8" t="n">
        <v>0.699682</v>
      </c>
      <c r="B109" s="8" t="n">
        <v>-0.03667</v>
      </c>
      <c r="C109" s="8" t="n">
        <f aca="false">B109*$E$1</f>
        <v>-3.30029999823933</v>
      </c>
      <c r="D109" s="8" t="n">
        <f aca="false">$G$1+$K$1+$L$1</f>
        <v>225.000001255695</v>
      </c>
      <c r="E109" s="8" t="n">
        <f aca="false">-A109*$E$1-($G$1*TAN(RADIANS($H$1)))-$J$1</f>
        <v>-992.709874387035</v>
      </c>
    </row>
    <row r="110" customFormat="false" ht="15" hidden="false" customHeight="true" outlineLevel="0" collapsed="false">
      <c r="A110" s="8" t="n">
        <v>0.721596</v>
      </c>
      <c r="B110" s="8" t="n">
        <v>-0.034506</v>
      </c>
      <c r="C110" s="8" t="n">
        <f aca="false">B110*$E$1</f>
        <v>-3.10553999834323</v>
      </c>
      <c r="D110" s="8" t="n">
        <f aca="false">$G$1+$K$1+$L$1</f>
        <v>225.000001255695</v>
      </c>
      <c r="E110" s="8" t="n">
        <f aca="false">-A110*$E$1-($G$1*TAN(RADIANS($H$1)))-$J$1</f>
        <v>-994.682134385983</v>
      </c>
    </row>
    <row r="111" customFormat="false" ht="15" hidden="false" customHeight="true" outlineLevel="0" collapsed="false">
      <c r="A111" s="8" t="n">
        <v>0.742992</v>
      </c>
      <c r="B111" s="8" t="n">
        <v>-0.032329</v>
      </c>
      <c r="C111" s="8" t="n">
        <f aca="false">B111*$E$1</f>
        <v>-2.90960999844776</v>
      </c>
      <c r="D111" s="8" t="n">
        <f aca="false">$G$1+$K$1+$L$1</f>
        <v>225.000001255695</v>
      </c>
      <c r="E111" s="8" t="n">
        <f aca="false">-A111*$E$1-($G$1*TAN(RADIANS($H$1)))-$J$1</f>
        <v>-996.607774384956</v>
      </c>
    </row>
    <row r="112" customFormat="false" ht="15" hidden="false" customHeight="true" outlineLevel="0" collapsed="false">
      <c r="A112" s="8" t="n">
        <v>0.76382</v>
      </c>
      <c r="B112" s="8" t="n">
        <v>-0.030152</v>
      </c>
      <c r="C112" s="8" t="n">
        <f aca="false">B112*$E$1</f>
        <v>-2.71367999855228</v>
      </c>
      <c r="D112" s="8" t="n">
        <f aca="false">$G$1+$K$1+$L$1</f>
        <v>225.000001255695</v>
      </c>
      <c r="E112" s="8" t="n">
        <f aca="false">-A112*$E$1-($G$1*TAN(RADIANS($H$1)))-$J$1</f>
        <v>-998.482294383956</v>
      </c>
    </row>
    <row r="113" customFormat="false" ht="15" hidden="false" customHeight="true" outlineLevel="0" collapsed="false">
      <c r="A113" s="8" t="n">
        <v>0.784032</v>
      </c>
      <c r="B113" s="8" t="n">
        <v>-0.027983</v>
      </c>
      <c r="C113" s="8" t="n">
        <f aca="false">B113*$E$1</f>
        <v>-2.51846999865642</v>
      </c>
      <c r="D113" s="8" t="n">
        <f aca="false">$G$1+$K$1+$L$1</f>
        <v>225.000001255695</v>
      </c>
      <c r="E113" s="8" t="n">
        <f aca="false">-A113*$E$1-($G$1*TAN(RADIANS($H$1)))-$J$1</f>
        <v>-1000.30137438299</v>
      </c>
    </row>
    <row r="114" customFormat="false" ht="15" hidden="false" customHeight="true" outlineLevel="0" collapsed="false">
      <c r="A114" s="8" t="n">
        <v>0.803581</v>
      </c>
      <c r="B114" s="8" t="n">
        <v>-0.025834</v>
      </c>
      <c r="C114" s="8" t="n">
        <f aca="false">B114*$E$1</f>
        <v>-2.32505999875961</v>
      </c>
      <c r="D114" s="8" t="n">
        <f aca="false">$G$1+$K$1+$L$1</f>
        <v>225.000001255695</v>
      </c>
      <c r="E114" s="8" t="n">
        <f aca="false">-A114*$E$1-($G$1*TAN(RADIANS($H$1)))-$J$1</f>
        <v>-1002.06078438205</v>
      </c>
    </row>
    <row r="115" customFormat="false" ht="15" hidden="false" customHeight="true" outlineLevel="0" collapsed="false">
      <c r="A115" s="8" t="n">
        <v>0.822421</v>
      </c>
      <c r="B115" s="8" t="n">
        <v>-0.023714</v>
      </c>
      <c r="C115" s="8" t="n">
        <f aca="false">B115*$E$1</f>
        <v>-2.1342599988614</v>
      </c>
      <c r="D115" s="8" t="n">
        <f aca="false">$G$1+$K$1+$L$1</f>
        <v>225.000001255695</v>
      </c>
      <c r="E115" s="8" t="n">
        <f aca="false">-A115*$E$1-($G$1*TAN(RADIANS($H$1)))-$J$1</f>
        <v>-1003.75638438114</v>
      </c>
    </row>
    <row r="116" customFormat="false" ht="15" hidden="false" customHeight="true" outlineLevel="0" collapsed="false">
      <c r="A116" s="8" t="n">
        <v>0.840508</v>
      </c>
      <c r="B116" s="8" t="n">
        <v>-0.021635</v>
      </c>
      <c r="C116" s="8" t="n">
        <f aca="false">B116*$E$1</f>
        <v>-1.94714999896122</v>
      </c>
      <c r="D116" s="8" t="n">
        <f aca="false">$G$1+$K$1+$L$1</f>
        <v>225.000001255695</v>
      </c>
      <c r="E116" s="8" t="n">
        <f aca="false">-A116*$E$1-($G$1*TAN(RADIANS($H$1)))-$J$1</f>
        <v>-1005.38421438027</v>
      </c>
    </row>
    <row r="117" customFormat="false" ht="15" hidden="false" customHeight="true" outlineLevel="0" collapsed="false">
      <c r="A117" s="8" t="n">
        <v>0.8578</v>
      </c>
      <c r="B117" s="8" t="n">
        <v>-0.019605</v>
      </c>
      <c r="C117" s="8" t="n">
        <f aca="false">B117*$E$1</f>
        <v>-1.76444999905869</v>
      </c>
      <c r="D117" s="8" t="n">
        <f aca="false">$G$1+$K$1+$L$1</f>
        <v>225.000001255695</v>
      </c>
      <c r="E117" s="8" t="n">
        <f aca="false">-A117*$E$1-($G$1*TAN(RADIANS($H$1)))-$J$1</f>
        <v>-1006.94049437944</v>
      </c>
    </row>
    <row r="118" customFormat="false" ht="15" hidden="false" customHeight="true" outlineLevel="0" collapsed="false">
      <c r="A118" s="8" t="n">
        <v>0.874255</v>
      </c>
      <c r="B118" s="8" t="n">
        <v>-0.017635</v>
      </c>
      <c r="C118" s="8" t="n">
        <f aca="false">B118*$E$1</f>
        <v>-1.58714999915327</v>
      </c>
      <c r="D118" s="8" t="n">
        <f aca="false">$G$1+$K$1+$L$1</f>
        <v>225.000001255695</v>
      </c>
      <c r="E118" s="8" t="n">
        <f aca="false">-A118*$E$1-($G$1*TAN(RADIANS($H$1)))-$J$1</f>
        <v>-1008.42144437865</v>
      </c>
    </row>
    <row r="119" customFormat="false" ht="15" hidden="false" customHeight="true" outlineLevel="0" collapsed="false">
      <c r="A119" s="8" t="n">
        <v>0.889837</v>
      </c>
      <c r="B119" s="8" t="n">
        <v>-0.015735</v>
      </c>
      <c r="C119" s="8" t="n">
        <f aca="false">B119*$E$1</f>
        <v>-1.4161499992445</v>
      </c>
      <c r="D119" s="8" t="n">
        <f aca="false">$G$1+$K$1+$L$1</f>
        <v>225.000001255695</v>
      </c>
      <c r="E119" s="8" t="n">
        <f aca="false">-A119*$E$1-($G$1*TAN(RADIANS($H$1)))-$J$1</f>
        <v>-1009.82382437791</v>
      </c>
    </row>
    <row r="120" customFormat="false" ht="15" hidden="false" customHeight="true" outlineLevel="0" collapsed="false">
      <c r="A120" s="8" t="n">
        <v>0.904509</v>
      </c>
      <c r="B120" s="8" t="n">
        <v>-0.013914</v>
      </c>
      <c r="C120" s="8" t="n">
        <f aca="false">B120*$E$1</f>
        <v>-1.25225999933193</v>
      </c>
      <c r="D120" s="8" t="n">
        <f aca="false">$G$1+$K$1+$L$1</f>
        <v>225.000001255695</v>
      </c>
      <c r="E120" s="8" t="n">
        <f aca="false">-A120*$E$1-($G$1*TAN(RADIANS($H$1)))-$J$1</f>
        <v>-1011.1443043772</v>
      </c>
    </row>
    <row r="121" customFormat="false" ht="15" hidden="false" customHeight="true" outlineLevel="0" collapsed="false">
      <c r="A121" s="8" t="n">
        <v>0.918235</v>
      </c>
      <c r="B121" s="8" t="n">
        <v>-0.012182</v>
      </c>
      <c r="C121" s="8" t="n">
        <f aca="false">B121*$E$1</f>
        <v>-1.09637999941509</v>
      </c>
      <c r="D121" s="8" t="n">
        <f aca="false">$G$1+$K$1+$L$1</f>
        <v>225.000001255695</v>
      </c>
      <c r="E121" s="8" t="n">
        <f aca="false">-A121*$E$1-($G$1*TAN(RADIANS($H$1)))-$J$1</f>
        <v>-1012.37964437654</v>
      </c>
    </row>
    <row r="122" customFormat="false" ht="15" hidden="false" customHeight="true" outlineLevel="0" collapsed="false">
      <c r="A122" s="8" t="n">
        <v>0.930985</v>
      </c>
      <c r="B122" s="8" t="n">
        <v>-0.010549</v>
      </c>
      <c r="C122" s="8" t="n">
        <f aca="false">B122*$E$1</f>
        <v>-0.9494099994935</v>
      </c>
      <c r="D122" s="8" t="n">
        <f aca="false">$G$1+$K$1+$L$1</f>
        <v>225.000001255695</v>
      </c>
      <c r="E122" s="8" t="n">
        <f aca="false">-A122*$E$1-($G$1*TAN(RADIANS($H$1)))-$J$1</f>
        <v>-1013.52714437593</v>
      </c>
    </row>
    <row r="123" customFormat="false" ht="15" hidden="false" customHeight="true" outlineLevel="0" collapsed="false">
      <c r="A123" s="8" t="n">
        <v>0.942728</v>
      </c>
      <c r="B123" s="8" t="n">
        <v>-0.009022</v>
      </c>
      <c r="C123" s="8" t="n">
        <f aca="false">B123*$E$1</f>
        <v>-0.811979999566818</v>
      </c>
      <c r="D123" s="8" t="n">
        <f aca="false">$G$1+$K$1+$L$1</f>
        <v>225.000001255695</v>
      </c>
      <c r="E123" s="8" t="n">
        <f aca="false">-A123*$E$1-($G$1*TAN(RADIANS($H$1)))-$J$1</f>
        <v>-1014.58401437537</v>
      </c>
    </row>
    <row r="124" customFormat="false" ht="15" hidden="false" customHeight="true" outlineLevel="0" collapsed="false">
      <c r="A124" s="8" t="n">
        <v>0.953437</v>
      </c>
      <c r="B124" s="8" t="n">
        <v>-0.007611</v>
      </c>
      <c r="C124" s="8" t="n">
        <f aca="false">B124*$E$1</f>
        <v>-0.684989999634565</v>
      </c>
      <c r="D124" s="8" t="n">
        <f aca="false">$G$1+$K$1+$L$1</f>
        <v>225.000001255695</v>
      </c>
      <c r="E124" s="8" t="n">
        <f aca="false">-A124*$E$1-($G$1*TAN(RADIANS($H$1)))-$J$1</f>
        <v>-1015.54782437485</v>
      </c>
    </row>
    <row r="125" customFormat="false" ht="15" hidden="false" customHeight="true" outlineLevel="0" collapsed="false">
      <c r="A125" s="8" t="n">
        <v>0.963087</v>
      </c>
      <c r="B125" s="8" t="n">
        <v>-0.006324</v>
      </c>
      <c r="C125" s="8" t="n">
        <f aca="false">B125*$E$1</f>
        <v>-0.569159999696359</v>
      </c>
      <c r="D125" s="8" t="n">
        <f aca="false">$G$1+$K$1+$L$1</f>
        <v>225.000001255695</v>
      </c>
      <c r="E125" s="8" t="n">
        <f aca="false">-A125*$E$1-($G$1*TAN(RADIANS($H$1)))-$J$1</f>
        <v>-1016.41632437439</v>
      </c>
    </row>
    <row r="126" customFormat="false" ht="15" hidden="false" customHeight="true" outlineLevel="0" collapsed="false">
      <c r="A126" s="8" t="n">
        <v>0.971656</v>
      </c>
      <c r="B126" s="8" t="n">
        <v>-0.005169</v>
      </c>
      <c r="C126" s="8" t="n">
        <f aca="false">B126*$E$1</f>
        <v>-0.465209999751816</v>
      </c>
      <c r="D126" s="8" t="n">
        <f aca="false">$G$1+$K$1+$L$1</f>
        <v>225.000001255695</v>
      </c>
      <c r="E126" s="8" t="n">
        <f aca="false">-A126*$E$1-($G$1*TAN(RADIANS($H$1)))-$J$1</f>
        <v>-1017.18753437398</v>
      </c>
    </row>
    <row r="127" customFormat="false" ht="15" hidden="false" customHeight="true" outlineLevel="0" collapsed="false">
      <c r="A127" s="8" t="n">
        <v>0.979123</v>
      </c>
      <c r="B127" s="8" t="n">
        <v>-0.004152</v>
      </c>
      <c r="C127" s="8" t="n">
        <f aca="false">B127*$E$1</f>
        <v>-0.373679999800646</v>
      </c>
      <c r="D127" s="8" t="n">
        <f aca="false">$G$1+$K$1+$L$1</f>
        <v>225.000001255695</v>
      </c>
      <c r="E127" s="8" t="n">
        <f aca="false">-A127*$E$1-($G$1*TAN(RADIANS($H$1)))-$J$1</f>
        <v>-1017.85956437362</v>
      </c>
    </row>
    <row r="128" customFormat="false" ht="15" hidden="false" customHeight="true" outlineLevel="0" collapsed="false">
      <c r="A128" s="8" t="n">
        <v>0.985471</v>
      </c>
      <c r="B128" s="8" t="n">
        <v>-0.00328</v>
      </c>
      <c r="C128" s="8" t="n">
        <f aca="false">B128*$E$1</f>
        <v>-0.295199999842514</v>
      </c>
      <c r="D128" s="8" t="n">
        <f aca="false">$G$1+$K$1+$L$1</f>
        <v>225.000001255695</v>
      </c>
      <c r="E128" s="8" t="n">
        <f aca="false">-A128*$E$1-($G$1*TAN(RADIANS($H$1)))-$J$1</f>
        <v>-1018.43088437331</v>
      </c>
    </row>
    <row r="129" customFormat="false" ht="15" hidden="false" customHeight="true" outlineLevel="0" collapsed="false">
      <c r="A129" s="8" t="n">
        <v>0.990685</v>
      </c>
      <c r="B129" s="8" t="n">
        <v>-0.00256</v>
      </c>
      <c r="C129" s="8" t="n">
        <f aca="false">B129*$E$1</f>
        <v>-0.230399999877084</v>
      </c>
      <c r="D129" s="8" t="n">
        <f aca="false">$G$1+$K$1+$L$1</f>
        <v>225.000001255695</v>
      </c>
      <c r="E129" s="8" t="n">
        <f aca="false">-A129*$E$1-($G$1*TAN(RADIANS($H$1)))-$J$1</f>
        <v>-1018.90014437306</v>
      </c>
    </row>
    <row r="130" customFormat="false" ht="15" hidden="false" customHeight="true" outlineLevel="0" collapsed="false">
      <c r="A130" s="8" t="n">
        <v>0.994753</v>
      </c>
      <c r="B130" s="8" t="n">
        <v>-0.001994</v>
      </c>
      <c r="C130" s="8" t="n">
        <f aca="false">B130*$E$1</f>
        <v>-0.17945999990426</v>
      </c>
      <c r="D130" s="8" t="n">
        <f aca="false">$G$1+$K$1+$L$1</f>
        <v>225.000001255695</v>
      </c>
      <c r="E130" s="8" t="n">
        <f aca="false">-A130*$E$1-($G$1*TAN(RADIANS($H$1)))-$J$1</f>
        <v>-1019.26626437287</v>
      </c>
    </row>
    <row r="131" customFormat="false" ht="15" hidden="false" customHeight="true" outlineLevel="0" collapsed="false">
      <c r="A131" s="8" t="n">
        <v>0.997666</v>
      </c>
      <c r="B131" s="8" t="n">
        <v>-0.001587</v>
      </c>
      <c r="C131" s="8" t="n">
        <f aca="false">B131*$E$1</f>
        <v>-0.142829999923802</v>
      </c>
      <c r="D131" s="8" t="n">
        <f aca="false">$G$1+$K$1+$L$1</f>
        <v>225.000001255695</v>
      </c>
      <c r="E131" s="8" t="n">
        <f aca="false">-A131*$E$1-($G$1*TAN(RADIANS($H$1)))-$J$1</f>
        <v>-1019.52843437273</v>
      </c>
    </row>
    <row r="132" customFormat="false" ht="15" hidden="false" customHeight="true" outlineLevel="0" collapsed="false">
      <c r="A132" s="8" t="n">
        <v>0.999416</v>
      </c>
      <c r="B132" s="8" t="n">
        <v>-0.001342</v>
      </c>
      <c r="C132" s="8" t="n">
        <f aca="false">B132*$E$1</f>
        <v>-0.120779999935565</v>
      </c>
      <c r="D132" s="8" t="n">
        <f aca="false">$G$1+$K$1+$L$1</f>
        <v>225.000001255695</v>
      </c>
      <c r="E132" s="8" t="n">
        <f aca="false">-A132*$E$1-($G$1*TAN(RADIANS($H$1)))-$J$1</f>
        <v>-1019.68593437264</v>
      </c>
    </row>
    <row r="133" customFormat="false" ht="15" hidden="false" customHeight="true" outlineLevel="0" collapsed="false">
      <c r="A133" s="8" t="n">
        <v>1</v>
      </c>
      <c r="B133" s="9" t="n">
        <v>0</v>
      </c>
      <c r="C133" s="8" t="n">
        <f aca="false">B133*$E$1</f>
        <v>0</v>
      </c>
      <c r="D133" s="8" t="n">
        <f aca="false">$G$1+$K$1+$L$1</f>
        <v>225.000001255695</v>
      </c>
      <c r="E133" s="8" t="n">
        <f aca="false">-A133*$E$1-($G$1*TAN(RADIANS($H$1)))-$J$1</f>
        <v>-1019.73849437262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2026-08-01T23:54:39Z</dcterms:created>
  <dc:creator>openpyxl</dc:creator>
  <dc:description/>
  <dc:language>en-US</dc:language>
  <cp:lastModifiedBy/>
  <dcterms:modified xsi:type="dcterms:W3CDTF">2026-08-02T05:17:08Z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