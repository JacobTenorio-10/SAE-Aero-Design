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_Panel" sheetId="1" state="visible" r:id="rId3"/>
    <sheet name="Root_Airfoil_XYZ" sheetId="2" state="visible" r:id="rId4"/>
    <sheet name="Tip_Airfoil_XY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b_semi is an ABSOLUTE input in skeleton_equations_micro.txt (main lifting-panel semi-span, 518 mm). It is deliberately NOT b/2: b/2 = 575 = 518 panel + 57 mm vertical winglet tip, modelled downstream. Formula "=C5/2" replaced with the literal. Source: user, skeleton_equations_micro.txt.</t>
        </r>
      </text>
    </comment>
    <comment ref="C16" authorId="0">
      <text>
        <r>
          <rPr>
            <sz val="10"/>
            <rFont val="Arial"/>
            <family val="2"/>
          </rPr>
          <t xml:space="preserve">Was "=(C6+C7)*C15", which equals S_w only while C15 = b/2. C15 is now the absolutised 518, so this uses the canonical definition S_w = (c_root + c_tip)/2 * b to stay consistent with skeleton_equations_micro.txt.</t>
        </r>
      </text>
    </comment>
  </commentList>
</comments>
</file>

<file path=xl/sharedStrings.xml><?xml version="1.0" encoding="utf-8"?>
<sst xmlns="http://schemas.openxmlformats.org/spreadsheetml/2006/main" count="146" uniqueCount="114">
  <si>
    <t xml:space="preserve">AIRCRAFT PLANFORM GEOMETRY &amp; TRANSFORMATION ENGINE — SAE MICRO 2026</t>
  </si>
  <si>
    <t xml:space="preserve">1. GLOBAL DESIGN CONFIGURATION PANEL (INPUT VARIABLES)</t>
  </si>
  <si>
    <t xml:space="preserve">Parameter Name</t>
  </si>
  <si>
    <t xml:space="preserve">Symbol</t>
  </si>
  <si>
    <t xml:space="preserve">Value</t>
  </si>
  <si>
    <t xml:space="preserve">Units</t>
  </si>
  <si>
    <t xml:space="preserve">SolidWorks Mapping / Scope</t>
  </si>
  <si>
    <t xml:space="preserve">Configuration Status</t>
  </si>
  <si>
    <t xml:space="preserve">Total Wingspan</t>
  </si>
  <si>
    <t xml:space="preserve">b</t>
  </si>
  <si>
    <t xml:space="preserve">mm</t>
  </si>
  <si>
    <t xml:space="preserve">Total aircraft wingspan. Sizing penalty driver (minimize).</t>
  </si>
  <si>
    <t xml:space="preserve">Baseline Optimization</t>
  </si>
  <si>
    <t xml:space="preserve">Root Chord length</t>
  </si>
  <si>
    <t xml:space="preserve">c_root</t>
  </si>
  <si>
    <t xml:space="preserve">Wing root chord length. Core airfoil geometry baseline.</t>
  </si>
  <si>
    <t xml:space="preserve">Core Airfoil Ref</t>
  </si>
  <si>
    <t xml:space="preserve">Tip Chord length</t>
  </si>
  <si>
    <t xml:space="preserve">c_tip</t>
  </si>
  <si>
    <t xml:space="preserve">Wing tip chord length. Drives planform taper ratio.</t>
  </si>
  <si>
    <t xml:space="preserve">Taper Reference</t>
  </si>
  <si>
    <t xml:space="preserve">Wing Incidence Angle</t>
  </si>
  <si>
    <t xml:space="preserve">i_wing</t>
  </si>
  <si>
    <t xml:space="preserve">deg</t>
  </si>
  <si>
    <t xml:space="preserve">Wing mounting incidence angle at root chord axis.</t>
  </si>
  <si>
    <t xml:space="preserve">Rigid Angle Axis</t>
  </si>
  <si>
    <t xml:space="preserve">Tip Aerodynamic Twist</t>
  </si>
  <si>
    <t xml:space="preserve">twist_tip</t>
  </si>
  <si>
    <t xml:space="preserve">Tip aerodynamic twist angle relative to root (washout).</t>
  </si>
  <si>
    <t xml:space="preserve">Washout Net Offset</t>
  </si>
  <si>
    <t xml:space="preserve">Leading Edge Sweep Angle</t>
  </si>
  <si>
    <t xml:space="preserve">sweep_LE</t>
  </si>
  <si>
    <t xml:space="preserve">Wing leading edge sweep angle (0 for straight wing).</t>
  </si>
  <si>
    <t xml:space="preserve">Straight panel baseline</t>
  </si>
  <si>
    <t xml:space="preserve">Dihedral Angle</t>
  </si>
  <si>
    <t xml:space="preserve">dihedral</t>
  </si>
  <si>
    <t xml:space="preserve">Wing dihedral angle for lateral roll stability.</t>
  </si>
  <si>
    <t xml:space="preserve">Lateral Roll Stability</t>
  </si>
  <si>
    <t xml:space="preserve">2. DERIVED WING PLANFORM &amp; STEADY-STATE METRICS</t>
  </si>
  <si>
    <t xml:space="preserve">Metric Name</t>
  </si>
  <si>
    <t xml:space="preserve">Symbol / Formula</t>
  </si>
  <si>
    <t xml:space="preserve">Computed Value</t>
  </si>
  <si>
    <t xml:space="preserve">Governing Equation / Definition</t>
  </si>
  <si>
    <t xml:space="preserve">SolidWorks Skeleton Role</t>
  </si>
  <si>
    <t xml:space="preserve">One-Panel Semi-Span</t>
  </si>
  <si>
    <t xml:space="preserve">b_semi</t>
  </si>
  <si>
    <t xml:space="preserve">b / 2</t>
  </si>
  <si>
    <t xml:space="preserve">"b_semi" — Tip Span Fence Post</t>
  </si>
  <si>
    <t xml:space="preserve">Wing Reference Area</t>
  </si>
  <si>
    <t xml:space="preserve">S_w</t>
  </si>
  <si>
    <t xml:space="preserve">mm²</t>
  </si>
  <si>
    <t xml:space="preserve">(c_root + c_tip) * b_semi</t>
  </si>
  <si>
    <t xml:space="preserve">"S_w" — Total Wing Area Target</t>
  </si>
  <si>
    <t xml:space="preserve">Wing Reference Area (dm²)</t>
  </si>
  <si>
    <t xml:space="preserve">S_w_dm2</t>
  </si>
  <si>
    <t xml:space="preserve">dm²</t>
  </si>
  <si>
    <t xml:space="preserve">S_w / 10,000</t>
  </si>
  <si>
    <t xml:space="preserve">Wing Loading Reference Base</t>
  </si>
  <si>
    <t xml:space="preserve">Wing Aspect Ratio</t>
  </si>
  <si>
    <t xml:space="preserve">AR</t>
  </si>
  <si>
    <t xml:space="preserve">-</t>
  </si>
  <si>
    <t xml:space="preserve">b² / S_w</t>
  </si>
  <si>
    <t xml:space="preserve">"AR" — Induced Drag Efficiency</t>
  </si>
  <si>
    <t xml:space="preserve">Planform Taper Ratio</t>
  </si>
  <si>
    <t xml:space="preserve">taper</t>
  </si>
  <si>
    <t xml:space="preserve">c_tip / c_root</t>
  </si>
  <si>
    <t xml:space="preserve">"taper" — Taper Ratio Check (0.60)</t>
  </si>
  <si>
    <t xml:space="preserve">Mean Aerodynamic Chord</t>
  </si>
  <si>
    <t xml:space="preserve">MAC</t>
  </si>
  <si>
    <t xml:space="preserve">2/3 * c_root * (1+λ+λ²) / (1+λ)</t>
  </si>
  <si>
    <t xml:space="preserve">"MAC" — Pitch Stability Datum</t>
  </si>
  <si>
    <t xml:space="preserve">Spanwise MAC Location</t>
  </si>
  <si>
    <t xml:space="preserve">y_MAC</t>
  </si>
  <si>
    <t xml:space="preserve">b/6 * (1+2λ) / (1+λ)</t>
  </si>
  <si>
    <t xml:space="preserve">"y_MAC" — Center of Pressure Station</t>
  </si>
  <si>
    <t xml:space="preserve">Effective Root Pitch Angle</t>
  </si>
  <si>
    <t xml:space="preserve">alpha_root</t>
  </si>
  <si>
    <t xml:space="preserve">Root Profile 3D Rotation Driver</t>
  </si>
  <si>
    <t xml:space="preserve">Effective Tip Pitch Angle</t>
  </si>
  <si>
    <t xml:space="preserve">alpha_tip</t>
  </si>
  <si>
    <t xml:space="preserve">i_wing + twist_tip</t>
  </si>
  <si>
    <t xml:space="preserve">Tip Profile 3D Washout Driver</t>
  </si>
  <si>
    <t xml:space="preserve">3. SAFETY ENVELOPE &amp; GROUND CLEARANCE COMPLIANCE TRACKING</t>
  </si>
  <si>
    <t xml:space="preserve">Compliance Parameter</t>
  </si>
  <si>
    <t xml:space="preserve">Mathematical Condition / Definition</t>
  </si>
  <si>
    <t xml:space="preserve">Rule Verification Status</t>
  </si>
  <si>
    <t xml:space="preserve">Thrust Centerline Height</t>
  </si>
  <si>
    <t xml:space="preserve">h_thrust</t>
  </si>
  <si>
    <t xml:space="preserve">Master Propulsion Height Above Runway</t>
  </si>
  <si>
    <t xml:space="preserve">Validated Centerline Baseline</t>
  </si>
  <si>
    <t xml:space="preserve">Propeller Total Diameter</t>
  </si>
  <si>
    <t xml:space="preserve">D_prop</t>
  </si>
  <si>
    <t xml:space="preserve">280 mm prop diameter (≈ 11 in), matches skeleton D_prop</t>
  </si>
  <si>
    <t xml:space="preserve">Approved Prop Envelope Check</t>
  </si>
  <si>
    <t xml:space="preserve">Propeller-to-Ground Tip Gap</t>
  </si>
  <si>
    <t xml:space="preserve">prop_clear</t>
  </si>
  <si>
    <t xml:space="preserve">h_thrust - D_prop / 2</t>
  </si>
  <si>
    <t xml:space="preserve">Volunteer Safety Keep-out</t>
  </si>
  <si>
    <t xml:space="preserve">keepout</t>
  </si>
  <si>
    <t xml:space="preserve">9.00 Inch Longitudinal Access Buffer</t>
  </si>
  <si>
    <t xml:space="preserve">AIRFOIL PROFILE:</t>
  </si>
  <si>
    <t xml:space="preserve">FX74CL5140</t>
  </si>
  <si>
    <t xml:space="preserve">STATION CONFIG:</t>
  </si>
  <si>
    <t xml:space="preserve">Root Chord Parameters (E1-I1) -&gt;</t>
  </si>
  <si>
    <t xml:space="preserve">x_norm</t>
  </si>
  <si>
    <t xml:space="preserve">y_norm</t>
  </si>
  <si>
    <t xml:space="preserve">SW_X (Spanwise)</t>
  </si>
  <si>
    <t xml:space="preserve">SW_Y (Vertical)</t>
  </si>
  <si>
    <t xml:space="preserve">SW_Z (Longitudinal)</t>
  </si>
  <si>
    <t xml:space="preserve">(F1) Incidence (deg)</t>
  </si>
  <si>
    <t xml:space="preserve">(G1) Span Offset (mm)</t>
  </si>
  <si>
    <t xml:space="preserve">(H1) LE Sweep (deg)</t>
  </si>
  <si>
    <t xml:space="preserve">(I1) Dihedral (deg)</t>
  </si>
  <si>
    <t xml:space="preserve">Tip Chord Parameters (E1-I1) -&gt;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</si>
</sst>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#,##0.00"/>
    <numFmt numFmtId="168" formatCode="0.00"/>
    <numFmt numFmtId="169" formatCode="0.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b val="true"/>
      <sz val="10"/>
      <color rgb="FF0E6251"/>
      <name val="Segoe UI"/>
      <family val="0"/>
      <charset val="1"/>
    </font>
    <font>
      <sz val="10"/>
      <name val="Arial"/>
      <family val="2"/>
    </font>
    <font>
      <b val="true"/>
      <sz val="9"/>
      <color rgb="FF555555"/>
      <name val="Segoe UI"/>
      <family val="0"/>
      <charset val="1"/>
    </font>
    <font>
      <b val="true"/>
      <sz val="10"/>
      <color rgb="FF1B365D"/>
      <name val="Segoe UI"/>
      <family val="0"/>
      <charset val="1"/>
    </font>
    <font>
      <i val="true"/>
      <sz val="9"/>
      <color rgb="FF555555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C5270"/>
        <bgColor rgb="FF0E6251"/>
      </patternFill>
    </fill>
    <fill>
      <patternFill patternType="solid">
        <fgColor rgb="FF4A708B"/>
        <bgColor rgb="FF555555"/>
      </patternFill>
    </fill>
    <fill>
      <patternFill patternType="solid">
        <fgColor rgb="FFEAF2F8"/>
        <bgColor rgb="FFF2F4F4"/>
      </patternFill>
    </fill>
    <fill>
      <patternFill patternType="solid">
        <fgColor rgb="FFEAFAF1"/>
        <bgColor rgb="FFF2F4F4"/>
      </patternFill>
    </fill>
    <fill>
      <patternFill patternType="solid">
        <fgColor rgb="FFF2F4F4"/>
        <bgColor rgb="FFEAF2F8"/>
      </patternFill>
    </fill>
    <fill>
      <patternFill patternType="solid">
        <fgColor rgb="FFEAECEE"/>
        <bgColor rgb="FFEAF2F8"/>
      </patternFill>
    </fill>
    <fill>
      <patternFill patternType="solid">
        <fgColor rgb="FFF7F9FA"/>
        <bgColor rgb="FFF2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BE0"/>
      </left>
      <right style="thin">
        <color rgb="FFD1DBE0"/>
      </right>
      <top style="thin">
        <color rgb="FFD1DBE0"/>
      </top>
      <bottom style="thin">
        <color rgb="FFD1DB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251"/>
      <rgbColor rgb="FFC0C0C0"/>
      <rgbColor rgb="FF808080"/>
      <rgbColor rgb="FF9999FF"/>
      <rgbColor rgb="FF993366"/>
      <rgbColor rgb="FFF7F9FA"/>
      <rgbColor rgb="FFEAFAF1"/>
      <rgbColor rgb="FF660066"/>
      <rgbColor rgb="FFFF8080"/>
      <rgbColor rgb="FF0066CC"/>
      <rgbColor rgb="FFD1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AECEE"/>
      <rgbColor rgb="FFF2F4F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08B"/>
      <rgbColor rgb="FF969696"/>
      <rgbColor rgb="FF1B365D"/>
      <rgbColor rgb="FF339966"/>
      <rgbColor rgb="FF003300"/>
      <rgbColor rgb="FF555555"/>
      <rgbColor rgb="FF993300"/>
      <rgbColor rgb="FF993366"/>
      <rgbColor rgb="FF2C52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6" min="6" style="1" width="3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8.75" hidden="false" customHeight="true" outlineLevel="0" collapsed="false">
      <c r="A5" s="5" t="s">
        <v>8</v>
      </c>
      <c r="B5" s="6" t="s">
        <v>9</v>
      </c>
      <c r="C5" s="7" t="n">
        <v>1150</v>
      </c>
      <c r="D5" s="6" t="s">
        <v>10</v>
      </c>
      <c r="E5" s="5" t="s">
        <v>11</v>
      </c>
      <c r="F5" s="5" t="s">
        <v>12</v>
      </c>
    </row>
    <row r="6" customFormat="false" ht="18.75" hidden="false" customHeight="true" outlineLevel="0" collapsed="false">
      <c r="A6" s="5" t="s">
        <v>13</v>
      </c>
      <c r="B6" s="6" t="s">
        <v>14</v>
      </c>
      <c r="C6" s="7" t="n">
        <v>225</v>
      </c>
      <c r="D6" s="6" t="s">
        <v>10</v>
      </c>
      <c r="E6" s="5" t="s">
        <v>15</v>
      </c>
      <c r="F6" s="5" t="s">
        <v>16</v>
      </c>
    </row>
    <row r="7" customFormat="false" ht="18.75" hidden="false" customHeight="true" outlineLevel="0" collapsed="false">
      <c r="A7" s="5" t="s">
        <v>17</v>
      </c>
      <c r="B7" s="6" t="s">
        <v>18</v>
      </c>
      <c r="C7" s="7" t="n">
        <v>225</v>
      </c>
      <c r="D7" s="6" t="s">
        <v>10</v>
      </c>
      <c r="E7" s="5" t="s">
        <v>19</v>
      </c>
      <c r="F7" s="5" t="s">
        <v>20</v>
      </c>
    </row>
    <row r="8" customFormat="false" ht="18.75" hidden="false" customHeight="true" outlineLevel="0" collapsed="false">
      <c r="A8" s="5" t="s">
        <v>21</v>
      </c>
      <c r="B8" s="6" t="s">
        <v>22</v>
      </c>
      <c r="C8" s="8" t="n">
        <v>0</v>
      </c>
      <c r="D8" s="6" t="s">
        <v>23</v>
      </c>
      <c r="E8" s="5" t="s">
        <v>24</v>
      </c>
      <c r="F8" s="5" t="s">
        <v>25</v>
      </c>
    </row>
    <row r="9" customFormat="false" ht="18.75" hidden="false" customHeight="true" outlineLevel="0" collapsed="false">
      <c r="A9" s="5" t="s">
        <v>26</v>
      </c>
      <c r="B9" s="6" t="s">
        <v>27</v>
      </c>
      <c r="C9" s="8" t="n">
        <v>0</v>
      </c>
      <c r="D9" s="6" t="s">
        <v>23</v>
      </c>
      <c r="E9" s="5" t="s">
        <v>28</v>
      </c>
      <c r="F9" s="5" t="s">
        <v>29</v>
      </c>
    </row>
    <row r="10" customFormat="false" ht="18.75" hidden="false" customHeight="true" outlineLevel="0" collapsed="false">
      <c r="A10" s="5" t="s">
        <v>30</v>
      </c>
      <c r="B10" s="6" t="s">
        <v>31</v>
      </c>
      <c r="C10" s="8" t="n">
        <v>11.02</v>
      </c>
      <c r="D10" s="6" t="s">
        <v>23</v>
      </c>
      <c r="E10" s="5" t="s">
        <v>32</v>
      </c>
      <c r="F10" s="5" t="s">
        <v>33</v>
      </c>
    </row>
    <row r="11" customFormat="false" ht="18.75" hidden="false" customHeight="true" outlineLevel="0" collapsed="false">
      <c r="A11" s="5" t="s">
        <v>34</v>
      </c>
      <c r="B11" s="6" t="s">
        <v>35</v>
      </c>
      <c r="C11" s="8" t="n">
        <v>4</v>
      </c>
      <c r="D11" s="6" t="s">
        <v>23</v>
      </c>
      <c r="E11" s="5" t="s">
        <v>36</v>
      </c>
      <c r="F11" s="5" t="s">
        <v>37</v>
      </c>
    </row>
    <row r="13" customFormat="false" ht="24" hidden="false" customHeight="true" outlineLevel="0" collapsed="false">
      <c r="A13" s="3" t="s">
        <v>38</v>
      </c>
      <c r="B13" s="3"/>
      <c r="C13" s="3"/>
      <c r="D13" s="3"/>
      <c r="E13" s="3"/>
      <c r="F13" s="3"/>
    </row>
    <row r="14" customFormat="false" ht="19.5" hidden="false" customHeight="true" outlineLevel="0" collapsed="false">
      <c r="A14" s="4" t="s">
        <v>39</v>
      </c>
      <c r="B14" s="4" t="s">
        <v>40</v>
      </c>
      <c r="C14" s="4" t="s">
        <v>41</v>
      </c>
      <c r="D14" s="4" t="s">
        <v>5</v>
      </c>
      <c r="E14" s="4" t="s">
        <v>42</v>
      </c>
      <c r="F14" s="4" t="s">
        <v>43</v>
      </c>
    </row>
    <row r="15" customFormat="false" ht="18.75" hidden="false" customHeight="true" outlineLevel="0" collapsed="false">
      <c r="A15" s="5" t="s">
        <v>44</v>
      </c>
      <c r="B15" s="6" t="s">
        <v>45</v>
      </c>
      <c r="C15" s="9" t="n">
        <v>518</v>
      </c>
      <c r="D15" s="6" t="s">
        <v>10</v>
      </c>
      <c r="E15" s="5" t="s">
        <v>46</v>
      </c>
      <c r="F15" s="5" t="s">
        <v>47</v>
      </c>
    </row>
    <row r="16" customFormat="false" ht="18.75" hidden="false" customHeight="true" outlineLevel="0" collapsed="false">
      <c r="A16" s="5" t="s">
        <v>48</v>
      </c>
      <c r="B16" s="6" t="s">
        <v>49</v>
      </c>
      <c r="C16" s="10" t="n">
        <f aca="false">(C6+C7)/2*C5</f>
        <v>258750</v>
      </c>
      <c r="D16" s="6" t="s">
        <v>50</v>
      </c>
      <c r="E16" s="5" t="s">
        <v>51</v>
      </c>
      <c r="F16" s="5" t="s">
        <v>52</v>
      </c>
    </row>
    <row r="17" customFormat="false" ht="18.75" hidden="false" customHeight="true" outlineLevel="0" collapsed="false">
      <c r="A17" s="5" t="s">
        <v>53</v>
      </c>
      <c r="B17" s="6" t="s">
        <v>54</v>
      </c>
      <c r="C17" s="10" t="n">
        <f aca="false">C16/10000</f>
        <v>25.875</v>
      </c>
      <c r="D17" s="6" t="s">
        <v>55</v>
      </c>
      <c r="E17" s="5" t="s">
        <v>56</v>
      </c>
      <c r="F17" s="5" t="s">
        <v>57</v>
      </c>
    </row>
    <row r="18" customFormat="false" ht="18.75" hidden="false" customHeight="true" outlineLevel="0" collapsed="false">
      <c r="A18" s="5" t="s">
        <v>58</v>
      </c>
      <c r="B18" s="6" t="s">
        <v>59</v>
      </c>
      <c r="C18" s="11" t="n">
        <f aca="false">C5^2/C16</f>
        <v>5.11111111111111</v>
      </c>
      <c r="D18" s="6" t="s">
        <v>60</v>
      </c>
      <c r="E18" s="5" t="s">
        <v>61</v>
      </c>
      <c r="F18" s="5" t="s">
        <v>62</v>
      </c>
    </row>
    <row r="19" customFormat="false" ht="18.75" hidden="false" customHeight="true" outlineLevel="0" collapsed="false">
      <c r="A19" s="5" t="s">
        <v>63</v>
      </c>
      <c r="B19" s="6" t="s">
        <v>64</v>
      </c>
      <c r="C19" s="11" t="n">
        <f aca="false">C7/C6</f>
        <v>1</v>
      </c>
      <c r="D19" s="6" t="s">
        <v>60</v>
      </c>
      <c r="E19" s="5" t="s">
        <v>65</v>
      </c>
      <c r="F19" s="5" t="s">
        <v>66</v>
      </c>
    </row>
    <row r="20" customFormat="false" ht="18.75" hidden="false" customHeight="true" outlineLevel="0" collapsed="false">
      <c r="A20" s="5" t="s">
        <v>67</v>
      </c>
      <c r="B20" s="6" t="s">
        <v>68</v>
      </c>
      <c r="C20" s="10" t="n">
        <f aca="false">(2/3)*C6*(1+C19+C19^2)/(1+C19)</f>
        <v>225</v>
      </c>
      <c r="D20" s="6" t="s">
        <v>10</v>
      </c>
      <c r="E20" s="5" t="s">
        <v>69</v>
      </c>
      <c r="F20" s="5" t="s">
        <v>70</v>
      </c>
    </row>
    <row r="21" customFormat="false" ht="18.75" hidden="false" customHeight="true" outlineLevel="0" collapsed="false">
      <c r="A21" s="5" t="s">
        <v>71</v>
      </c>
      <c r="B21" s="6" t="s">
        <v>72</v>
      </c>
      <c r="C21" s="10" t="n">
        <f aca="false">(C5/6)*(1+2*C19)/(1+C19)</f>
        <v>287.5</v>
      </c>
      <c r="D21" s="6" t="s">
        <v>10</v>
      </c>
      <c r="E21" s="5" t="s">
        <v>73</v>
      </c>
      <c r="F21" s="5" t="s">
        <v>74</v>
      </c>
    </row>
    <row r="22" customFormat="false" ht="18.75" hidden="false" customHeight="true" outlineLevel="0" collapsed="false">
      <c r="A22" s="5" t="s">
        <v>75</v>
      </c>
      <c r="B22" s="6" t="s">
        <v>76</v>
      </c>
      <c r="C22" s="9" t="n">
        <f aca="false">C8</f>
        <v>0</v>
      </c>
      <c r="D22" s="6" t="s">
        <v>23</v>
      </c>
      <c r="E22" s="5" t="s">
        <v>22</v>
      </c>
      <c r="F22" s="5" t="s">
        <v>77</v>
      </c>
    </row>
    <row r="23" customFormat="false" ht="18.75" hidden="false" customHeight="true" outlineLevel="0" collapsed="false">
      <c r="A23" s="5" t="s">
        <v>78</v>
      </c>
      <c r="B23" s="6" t="s">
        <v>79</v>
      </c>
      <c r="C23" s="9" t="n">
        <f aca="false">C8+C9</f>
        <v>0</v>
      </c>
      <c r="D23" s="6" t="s">
        <v>23</v>
      </c>
      <c r="E23" s="5" t="s">
        <v>80</v>
      </c>
      <c r="F23" s="5" t="s">
        <v>81</v>
      </c>
    </row>
    <row r="25" customFormat="false" ht="24" hidden="false" customHeight="true" outlineLevel="0" collapsed="false">
      <c r="A25" s="3" t="s">
        <v>82</v>
      </c>
      <c r="B25" s="3"/>
      <c r="C25" s="3"/>
      <c r="D25" s="3"/>
      <c r="E25" s="3"/>
      <c r="F25" s="3"/>
    </row>
    <row r="26" customFormat="false" ht="19.5" hidden="false" customHeight="true" outlineLevel="0" collapsed="false">
      <c r="A26" s="4" t="s">
        <v>83</v>
      </c>
      <c r="B26" s="4" t="s">
        <v>3</v>
      </c>
      <c r="C26" s="4" t="s">
        <v>4</v>
      </c>
      <c r="D26" s="4" t="s">
        <v>5</v>
      </c>
      <c r="E26" s="4" t="s">
        <v>84</v>
      </c>
      <c r="F26" s="4" t="s">
        <v>85</v>
      </c>
    </row>
    <row r="27" customFormat="false" ht="18.75" hidden="false" customHeight="true" outlineLevel="0" collapsed="false">
      <c r="A27" s="5" t="s">
        <v>86</v>
      </c>
      <c r="B27" s="6" t="s">
        <v>87</v>
      </c>
      <c r="C27" s="8" t="n">
        <v>160</v>
      </c>
      <c r="D27" s="6" t="s">
        <v>10</v>
      </c>
      <c r="E27" s="5" t="s">
        <v>88</v>
      </c>
      <c r="F27" s="5" t="s">
        <v>89</v>
      </c>
    </row>
    <row r="28" customFormat="false" ht="18.75" hidden="false" customHeight="true" outlineLevel="0" collapsed="false">
      <c r="A28" s="5" t="s">
        <v>90</v>
      </c>
      <c r="B28" s="6" t="s">
        <v>91</v>
      </c>
      <c r="C28" s="8" t="n">
        <v>280</v>
      </c>
      <c r="D28" s="6" t="s">
        <v>10</v>
      </c>
      <c r="E28" s="5" t="s">
        <v>92</v>
      </c>
      <c r="F28" s="5" t="s">
        <v>93</v>
      </c>
    </row>
    <row r="29" customFormat="false" ht="18.75" hidden="false" customHeight="true" outlineLevel="0" collapsed="false">
      <c r="A29" s="5" t="s">
        <v>94</v>
      </c>
      <c r="B29" s="6" t="s">
        <v>95</v>
      </c>
      <c r="C29" s="9" t="n">
        <f aca="false">C27-C28/2</f>
        <v>20</v>
      </c>
      <c r="D29" s="6" t="s">
        <v>10</v>
      </c>
      <c r="E29" s="5" t="s">
        <v>96</v>
      </c>
      <c r="F29" s="12" t="str">
        <f aca="false">IF(C29&gt;=20,"COMPLIANT (&gt;=20mm)","CRITICAL INTERFERENCE")</f>
        <v>COMPLIANT (&gt;=20mm)</v>
      </c>
    </row>
    <row r="30" customFormat="false" ht="18.75" hidden="false" customHeight="true" outlineLevel="0" collapsed="false">
      <c r="A30" s="5" t="s">
        <v>97</v>
      </c>
      <c r="B30" s="6" t="s">
        <v>98</v>
      </c>
      <c r="C30" s="9" t="n">
        <v>228.6</v>
      </c>
      <c r="D30" s="6" t="s">
        <v>10</v>
      </c>
      <c r="E30" s="5" t="s">
        <v>99</v>
      </c>
      <c r="F30" s="12" t="str">
        <f aca="false">IF(C30&gt;=228.6,"COMPLIANT","BUFFER DEFICIT")</f>
        <v>COMPLIANT</v>
      </c>
    </row>
  </sheetData>
  <mergeCells count="4">
    <mergeCell ref="A1:F1"/>
    <mergeCell ref="A3:F3"/>
    <mergeCell ref="A13:F1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9"/>
    <col collapsed="false" customWidth="true" hidden="false" outlineLevel="0" max="4" min="4" style="1" width="116"/>
    <col collapsed="false" customWidth="true" hidden="false" outlineLevel="0" max="5" min="5" style="1" width="126"/>
    <col collapsed="false" customWidth="true" hidden="false" outlineLevel="0" max="6" min="6" style="1" width="24"/>
    <col collapsed="false" customWidth="true" hidden="false" outlineLevel="0" max="7" min="7" style="1" width="25"/>
    <col collapsed="false" customWidth="true" hidden="false" outlineLevel="0" max="9" min="8" style="1" width="24"/>
  </cols>
  <sheetData>
    <row r="1" customFormat="false" ht="25.5" hidden="false" customHeight="true" outlineLevel="0" collapsed="false">
      <c r="A1" s="13" t="s">
        <v>100</v>
      </c>
      <c r="B1" s="14" t="s">
        <v>101</v>
      </c>
      <c r="C1" s="15" t="s">
        <v>102</v>
      </c>
      <c r="D1" s="13" t="s">
        <v>103</v>
      </c>
      <c r="E1" s="16" t="n">
        <f aca="false">Control_Panel!$C$6</f>
        <v>225</v>
      </c>
      <c r="F1" s="17" t="n">
        <f aca="false">Control_Panel!$C$22</f>
        <v>0</v>
      </c>
      <c r="G1" s="16" t="n">
        <v>0</v>
      </c>
      <c r="H1" s="17" t="n">
        <f aca="false">Control_Panel!$C$10</f>
        <v>11.02</v>
      </c>
      <c r="I1" s="17" t="n">
        <f aca="false">Control_Panel!$C$11</f>
        <v>4</v>
      </c>
    </row>
    <row r="2" customFormat="false" ht="24" hidden="false" customHeight="true" outlineLevel="0" collapsed="false">
      <c r="A2" s="4" t="s">
        <v>104</v>
      </c>
      <c r="B2" s="4" t="s">
        <v>105</v>
      </c>
      <c r="C2" s="4" t="s">
        <v>106</v>
      </c>
      <c r="D2" s="4" t="s">
        <v>107</v>
      </c>
      <c r="E2" s="4" t="s">
        <v>108</v>
      </c>
      <c r="F2" s="18" t="s">
        <v>109</v>
      </c>
      <c r="G2" s="18" t="s">
        <v>110</v>
      </c>
      <c r="H2" s="18" t="s">
        <v>111</v>
      </c>
      <c r="I2" s="18" t="s">
        <v>112</v>
      </c>
    </row>
    <row r="3" customFormat="false" ht="18" hidden="false" customHeight="true" outlineLevel="0" collapsed="false">
      <c r="A3" s="19" t="n">
        <v>1</v>
      </c>
      <c r="B3" s="19" t="n">
        <v>0</v>
      </c>
      <c r="C3" s="20" t="n">
        <f aca="false">$G$1</f>
        <v>0</v>
      </c>
      <c r="D3" s="20" t="n">
        <f aca="false">(( -A3 - (-0.25) ) * SIN(RADIANS($F$1)) + (B3 - 0) * COS(RADIANS($F$1)) - 0.25 * SIN(RADIANS($F$1))) * $E$1 + ($G$1 * TAN(RADIANS($I$1)))</f>
        <v>0</v>
      </c>
      <c r="E3" s="20" t="n">
        <f aca="false">(( -A3 - (-0.25) ) * COS(RADIANS($F$1)) - (B3 - 0) * SIN(RADIANS($F$1)) + (-0.25)) * $E$1 - ($G$1 * TAN(RADIANS($H$1)))</f>
        <v>-225</v>
      </c>
    </row>
    <row r="4" customFormat="false" ht="18" hidden="false" customHeight="true" outlineLevel="0" collapsed="false">
      <c r="A4" s="21" t="n">
        <v>0.99754</v>
      </c>
      <c r="B4" s="21" t="n">
        <v>0.00189</v>
      </c>
      <c r="C4" s="22" t="n">
        <f aca="false">$G$1</f>
        <v>0</v>
      </c>
      <c r="D4" s="22" t="n">
        <f aca="false">(( -A4 - (-0.25) ) * SIN(RADIANS($F$1)) + (B4 - 0) * COS(RADIANS($F$1)) - 0.25 * SIN(RADIANS($F$1))) * $E$1 + ($G$1 * TAN(RADIANS($I$1)))</f>
        <v>0.42525</v>
      </c>
      <c r="E4" s="22" t="n">
        <f aca="false">(( -A4 - (-0.25) ) * COS(RADIANS($F$1)) - (B4 - 0) * SIN(RADIANS($F$1)) + (-0.25)) * $E$1 - ($G$1 * TAN(RADIANS($H$1)))</f>
        <v>-224.4465</v>
      </c>
    </row>
    <row r="5" customFormat="false" ht="18" hidden="false" customHeight="true" outlineLevel="0" collapsed="false">
      <c r="A5" s="19" t="n">
        <v>0.9907</v>
      </c>
      <c r="B5" s="19" t="n">
        <v>0.00624</v>
      </c>
      <c r="C5" s="20" t="n">
        <f aca="false">$G$1</f>
        <v>0</v>
      </c>
      <c r="D5" s="20" t="n">
        <f aca="false">(( -A5 - (-0.25) ) * SIN(RADIANS($F$1)) + (B5 - 0) * COS(RADIANS($F$1)) - 0.25 * SIN(RADIANS($F$1))) * $E$1 + ($G$1 * TAN(RADIANS($I$1)))</f>
        <v>1.404</v>
      </c>
      <c r="E5" s="20" t="n">
        <f aca="false">(( -A5 - (-0.25) ) * COS(RADIANS($F$1)) - (B5 - 0) * SIN(RADIANS($F$1)) + (-0.25)) * $E$1 - ($G$1 * TAN(RADIANS($H$1)))</f>
        <v>-222.9075</v>
      </c>
    </row>
    <row r="6" customFormat="false" ht="18" hidden="false" customHeight="true" outlineLevel="0" collapsed="false">
      <c r="A6" s="21" t="n">
        <v>0.98037</v>
      </c>
      <c r="B6" s="21" t="n">
        <v>0.0115</v>
      </c>
      <c r="C6" s="22" t="n">
        <f aca="false">$G$1</f>
        <v>0</v>
      </c>
      <c r="D6" s="22" t="n">
        <f aca="false">(( -A6 - (-0.25) ) * SIN(RADIANS($F$1)) + (B6 - 0) * COS(RADIANS($F$1)) - 0.25 * SIN(RADIANS($F$1))) * $E$1 + ($G$1 * TAN(RADIANS($I$1)))</f>
        <v>2.5875</v>
      </c>
      <c r="E6" s="22" t="n">
        <f aca="false">(( -A6 - (-0.25) ) * COS(RADIANS($F$1)) - (B6 - 0) * SIN(RADIANS($F$1)) + (-0.25)) * $E$1 - ($G$1 * TAN(RADIANS($H$1)))</f>
        <v>-220.58325</v>
      </c>
    </row>
    <row r="7" customFormat="false" ht="18" hidden="false" customHeight="true" outlineLevel="0" collapsed="false">
      <c r="A7" s="19" t="n">
        <v>0.96698</v>
      </c>
      <c r="B7" s="19" t="n">
        <v>0.01741</v>
      </c>
      <c r="C7" s="20" t="n">
        <f aca="false">$G$1</f>
        <v>0</v>
      </c>
      <c r="D7" s="20" t="n">
        <f aca="false">(( -A7 - (-0.25) ) * SIN(RADIANS($F$1)) + (B7 - 0) * COS(RADIANS($F$1)) - 0.25 * SIN(RADIANS($F$1))) * $E$1 + ($G$1 * TAN(RADIANS($I$1)))</f>
        <v>3.91725</v>
      </c>
      <c r="E7" s="20" t="n">
        <f aca="false">(( -A7 - (-0.25) ) * COS(RADIANS($F$1)) - (B7 - 0) * SIN(RADIANS($F$1)) + (-0.25)) * $E$1 - ($G$1 * TAN(RADIANS($H$1)))</f>
        <v>-217.5705</v>
      </c>
    </row>
    <row r="8" customFormat="false" ht="18" hidden="false" customHeight="true" outlineLevel="0" collapsed="false">
      <c r="A8" s="21" t="n">
        <v>0.95044</v>
      </c>
      <c r="B8" s="21" t="n">
        <v>0.02402</v>
      </c>
      <c r="C8" s="22" t="n">
        <f aca="false">$G$1</f>
        <v>0</v>
      </c>
      <c r="D8" s="22" t="n">
        <f aca="false">(( -A8 - (-0.25) ) * SIN(RADIANS($F$1)) + (B8 - 0) * COS(RADIANS($F$1)) - 0.25 * SIN(RADIANS($F$1))) * $E$1 + ($G$1 * TAN(RADIANS($I$1)))</f>
        <v>5.4045</v>
      </c>
      <c r="E8" s="22" t="n">
        <f aca="false">(( -A8 - (-0.25) ) * COS(RADIANS($F$1)) - (B8 - 0) * SIN(RADIANS($F$1)) + (-0.25)) * $E$1 - ($G$1 * TAN(RADIANS($H$1)))</f>
        <v>-213.849</v>
      </c>
    </row>
    <row r="9" customFormat="false" ht="18" hidden="false" customHeight="true" outlineLevel="0" collapsed="false">
      <c r="A9" s="19" t="n">
        <v>0.93064</v>
      </c>
      <c r="B9" s="19" t="n">
        <v>0.03188</v>
      </c>
      <c r="C9" s="20" t="n">
        <f aca="false">$G$1</f>
        <v>0</v>
      </c>
      <c r="D9" s="20" t="n">
        <f aca="false">(( -A9 - (-0.25) ) * SIN(RADIANS($F$1)) + (B9 - 0) * COS(RADIANS($F$1)) - 0.25 * SIN(RADIANS($F$1))) * $E$1 + ($G$1 * TAN(RADIANS($I$1)))</f>
        <v>7.173</v>
      </c>
      <c r="E9" s="20" t="n">
        <f aca="false">(( -A9 - (-0.25) ) * COS(RADIANS($F$1)) - (B9 - 0) * SIN(RADIANS($F$1)) + (-0.25)) * $E$1 - ($G$1 * TAN(RADIANS($H$1)))</f>
        <v>-209.394</v>
      </c>
    </row>
    <row r="10" customFormat="false" ht="18" hidden="false" customHeight="true" outlineLevel="0" collapsed="false">
      <c r="A10" s="21" t="n">
        <v>0.90775</v>
      </c>
      <c r="B10" s="21" t="n">
        <v>0.04001</v>
      </c>
      <c r="C10" s="22" t="n">
        <f aca="false">$G$1</f>
        <v>0</v>
      </c>
      <c r="D10" s="22" t="n">
        <f aca="false">(( -A10 - (-0.25) ) * SIN(RADIANS($F$1)) + (B10 - 0) * COS(RADIANS($F$1)) - 0.25 * SIN(RADIANS($F$1))) * $E$1 + ($G$1 * TAN(RADIANS($I$1)))</f>
        <v>9.00225</v>
      </c>
      <c r="E10" s="22" t="n">
        <f aca="false">(( -A10 - (-0.25) ) * COS(RADIANS($F$1)) - (B10 - 0) * SIN(RADIANS($F$1)) + (-0.25)) * $E$1 - ($G$1 * TAN(RADIANS($H$1)))</f>
        <v>-204.24375</v>
      </c>
    </row>
    <row r="11" customFormat="false" ht="18" hidden="false" customHeight="true" outlineLevel="0" collapsed="false">
      <c r="A11" s="19" t="n">
        <v>0.88202</v>
      </c>
      <c r="B11" s="19" t="n">
        <v>0.04848</v>
      </c>
      <c r="C11" s="20" t="n">
        <f aca="false">$G$1</f>
        <v>0</v>
      </c>
      <c r="D11" s="20" t="n">
        <f aca="false">(( -A11 - (-0.25) ) * SIN(RADIANS($F$1)) + (B11 - 0) * COS(RADIANS($F$1)) - 0.25 * SIN(RADIANS($F$1))) * $E$1 + ($G$1 * TAN(RADIANS($I$1)))</f>
        <v>10.908</v>
      </c>
      <c r="E11" s="20" t="n">
        <f aca="false">(( -A11 - (-0.25) ) * COS(RADIANS($F$1)) - (B11 - 0) * SIN(RADIANS($F$1)) + (-0.25)) * $E$1 - ($G$1 * TAN(RADIANS($H$1)))</f>
        <v>-198.4545</v>
      </c>
    </row>
    <row r="12" customFormat="false" ht="18" hidden="false" customHeight="true" outlineLevel="0" collapsed="false">
      <c r="A12" s="21" t="n">
        <v>0.8537</v>
      </c>
      <c r="B12" s="21" t="n">
        <v>0.05718</v>
      </c>
      <c r="C12" s="22" t="n">
        <f aca="false">$G$1</f>
        <v>0</v>
      </c>
      <c r="D12" s="22" t="n">
        <f aca="false">(( -A12 - (-0.25) ) * SIN(RADIANS($F$1)) + (B12 - 0) * COS(RADIANS($F$1)) - 0.25 * SIN(RADIANS($F$1))) * $E$1 + ($G$1 * TAN(RADIANS($I$1)))</f>
        <v>12.8655</v>
      </c>
      <c r="E12" s="22" t="n">
        <f aca="false">(( -A12 - (-0.25) ) * COS(RADIANS($F$1)) - (B12 - 0) * SIN(RADIANS($F$1)) + (-0.25)) * $E$1 - ($G$1 * TAN(RADIANS($H$1)))</f>
        <v>-192.0825</v>
      </c>
    </row>
    <row r="13" customFormat="false" ht="18" hidden="false" customHeight="true" outlineLevel="0" collapsed="false">
      <c r="A13" s="19" t="n">
        <v>0.82309</v>
      </c>
      <c r="B13" s="19" t="n">
        <v>0.06616</v>
      </c>
      <c r="C13" s="20" t="n">
        <f aca="false">$G$1</f>
        <v>0</v>
      </c>
      <c r="D13" s="20" t="n">
        <f aca="false">(( -A13 - (-0.25) ) * SIN(RADIANS($F$1)) + (B13 - 0) * COS(RADIANS($F$1)) - 0.25 * SIN(RADIANS($F$1))) * $E$1 + ($G$1 * TAN(RADIANS($I$1)))</f>
        <v>14.886</v>
      </c>
      <c r="E13" s="20" t="n">
        <f aca="false">(( -A13 - (-0.25) ) * COS(RADIANS($F$1)) - (B13 - 0) * SIN(RADIANS($F$1)) + (-0.25)) * $E$1 - ($G$1 * TAN(RADIANS($H$1)))</f>
        <v>-185.19525</v>
      </c>
    </row>
    <row r="14" customFormat="false" ht="18" hidden="false" customHeight="true" outlineLevel="0" collapsed="false">
      <c r="A14" s="21" t="n">
        <v>0.79048</v>
      </c>
      <c r="B14" s="21" t="n">
        <v>0.07549</v>
      </c>
      <c r="C14" s="22" t="n">
        <f aca="false">$G$1</f>
        <v>0</v>
      </c>
      <c r="D14" s="22" t="n">
        <f aca="false">(( -A14 - (-0.25) ) * SIN(RADIANS($F$1)) + (B14 - 0) * COS(RADIANS($F$1)) - 0.25 * SIN(RADIANS($F$1))) * $E$1 + ($G$1 * TAN(RADIANS($I$1)))</f>
        <v>16.98525</v>
      </c>
      <c r="E14" s="22" t="n">
        <f aca="false">(( -A14 - (-0.25) ) * COS(RADIANS($F$1)) - (B14 - 0) * SIN(RADIANS($F$1)) + (-0.25)) * $E$1 - ($G$1 * TAN(RADIANS($H$1)))</f>
        <v>-177.858</v>
      </c>
    </row>
    <row r="15" customFormat="false" ht="18" hidden="false" customHeight="true" outlineLevel="0" collapsed="false">
      <c r="A15" s="19" t="n">
        <v>0.75616</v>
      </c>
      <c r="B15" s="19" t="n">
        <v>0.0851</v>
      </c>
      <c r="C15" s="20" t="n">
        <f aca="false">$G$1</f>
        <v>0</v>
      </c>
      <c r="D15" s="20" t="n">
        <f aca="false">(( -A15 - (-0.25) ) * SIN(RADIANS($F$1)) + (B15 - 0) * COS(RADIANS($F$1)) - 0.25 * SIN(RADIANS($F$1))) * $E$1 + ($G$1 * TAN(RADIANS($I$1)))</f>
        <v>19.1475</v>
      </c>
      <c r="E15" s="20" t="n">
        <f aca="false">(( -A15 - (-0.25) ) * COS(RADIANS($F$1)) - (B15 - 0) * SIN(RADIANS($F$1)) + (-0.25)) * $E$1 - ($G$1 * TAN(RADIANS($H$1)))</f>
        <v>-170.136</v>
      </c>
    </row>
    <row r="16" customFormat="false" ht="18" hidden="false" customHeight="true" outlineLevel="0" collapsed="false">
      <c r="A16" s="21" t="n">
        <v>0.72043</v>
      </c>
      <c r="B16" s="21" t="n">
        <v>0.09482</v>
      </c>
      <c r="C16" s="22" t="n">
        <f aca="false">$G$1</f>
        <v>0</v>
      </c>
      <c r="D16" s="22" t="n">
        <f aca="false">(( -A16 - (-0.25) ) * SIN(RADIANS($F$1)) + (B16 - 0) * COS(RADIANS($F$1)) - 0.25 * SIN(RADIANS($F$1))) * $E$1 + ($G$1 * TAN(RADIANS($I$1)))</f>
        <v>21.3345</v>
      </c>
      <c r="E16" s="22" t="n">
        <f aca="false">(( -A16 - (-0.25) ) * COS(RADIANS($F$1)) - (B16 - 0) * SIN(RADIANS($F$1)) + (-0.25)) * $E$1 - ($G$1 * TAN(RADIANS($H$1)))</f>
        <v>-162.09675</v>
      </c>
    </row>
    <row r="17" customFormat="false" ht="18" hidden="false" customHeight="true" outlineLevel="0" collapsed="false">
      <c r="A17" s="19" t="n">
        <v>0.68359</v>
      </c>
      <c r="B17" s="19" t="n">
        <v>0.10446</v>
      </c>
      <c r="C17" s="20" t="n">
        <f aca="false">$G$1</f>
        <v>0</v>
      </c>
      <c r="D17" s="20" t="n">
        <f aca="false">(( -A17 - (-0.25) ) * SIN(RADIANS($F$1)) + (B17 - 0) * COS(RADIANS($F$1)) - 0.25 * SIN(RADIANS($F$1))) * $E$1 + ($G$1 * TAN(RADIANS($I$1)))</f>
        <v>23.5035</v>
      </c>
      <c r="E17" s="20" t="n">
        <f aca="false">(( -A17 - (-0.25) ) * COS(RADIANS($F$1)) - (B17 - 0) * SIN(RADIANS($F$1)) + (-0.25)) * $E$1 - ($G$1 * TAN(RADIANS($H$1)))</f>
        <v>-153.80775</v>
      </c>
    </row>
    <row r="18" customFormat="false" ht="18" hidden="false" customHeight="true" outlineLevel="0" collapsed="false">
      <c r="A18" s="21" t="n">
        <v>0.64594</v>
      </c>
      <c r="B18" s="21" t="n">
        <v>0.11385</v>
      </c>
      <c r="C18" s="22" t="n">
        <f aca="false">$G$1</f>
        <v>0</v>
      </c>
      <c r="D18" s="22" t="n">
        <f aca="false">(( -A18 - (-0.25) ) * SIN(RADIANS($F$1)) + (B18 - 0) * COS(RADIANS($F$1)) - 0.25 * SIN(RADIANS($F$1))) * $E$1 + ($G$1 * TAN(RADIANS($I$1)))</f>
        <v>25.61625</v>
      </c>
      <c r="E18" s="22" t="n">
        <f aca="false">(( -A18 - (-0.25) ) * COS(RADIANS($F$1)) - (B18 - 0) * SIN(RADIANS($F$1)) + (-0.25)) * $E$1 - ($G$1 * TAN(RADIANS($H$1)))</f>
        <v>-145.3365</v>
      </c>
    </row>
    <row r="19" customFormat="false" ht="18" hidden="false" customHeight="true" outlineLevel="0" collapsed="false">
      <c r="A19" s="19" t="n">
        <v>0.60778</v>
      </c>
      <c r="B19" s="19" t="n">
        <v>0.12287</v>
      </c>
      <c r="C19" s="20" t="n">
        <f aca="false">$G$1</f>
        <v>0</v>
      </c>
      <c r="D19" s="20" t="n">
        <f aca="false">(( -A19 - (-0.25) ) * SIN(RADIANS($F$1)) + (B19 - 0) * COS(RADIANS($F$1)) - 0.25 * SIN(RADIANS($F$1))) * $E$1 + ($G$1 * TAN(RADIANS($I$1)))</f>
        <v>27.64575</v>
      </c>
      <c r="E19" s="20" t="n">
        <f aca="false">(( -A19 - (-0.25) ) * COS(RADIANS($F$1)) - (B19 - 0) * SIN(RADIANS($F$1)) + (-0.25)) * $E$1 - ($G$1 * TAN(RADIANS($H$1)))</f>
        <v>-136.7505</v>
      </c>
    </row>
    <row r="20" customFormat="false" ht="18" hidden="false" customHeight="true" outlineLevel="0" collapsed="false">
      <c r="A20" s="21" t="n">
        <v>0.56937</v>
      </c>
      <c r="B20" s="21" t="n">
        <v>0.13137</v>
      </c>
      <c r="C20" s="22" t="n">
        <f aca="false">$G$1</f>
        <v>0</v>
      </c>
      <c r="D20" s="22" t="n">
        <f aca="false">(( -A20 - (-0.25) ) * SIN(RADIANS($F$1)) + (B20 - 0) * COS(RADIANS($F$1)) - 0.25 * SIN(RADIANS($F$1))) * $E$1 + ($G$1 * TAN(RADIANS($I$1)))</f>
        <v>29.55825</v>
      </c>
      <c r="E20" s="22" t="n">
        <f aca="false">(( -A20 - (-0.25) ) * COS(RADIANS($F$1)) - (B20 - 0) * SIN(RADIANS($F$1)) + (-0.25)) * $E$1 - ($G$1 * TAN(RADIANS($H$1)))</f>
        <v>-128.10825</v>
      </c>
    </row>
    <row r="21" customFormat="false" ht="18" hidden="false" customHeight="true" outlineLevel="0" collapsed="false">
      <c r="A21" s="19" t="n">
        <v>0.53099</v>
      </c>
      <c r="B21" s="19" t="n">
        <v>0.13916</v>
      </c>
      <c r="C21" s="20" t="n">
        <f aca="false">$G$1</f>
        <v>0</v>
      </c>
      <c r="D21" s="20" t="n">
        <f aca="false">(( -A21 - (-0.25) ) * SIN(RADIANS($F$1)) + (B21 - 0) * COS(RADIANS($F$1)) - 0.25 * SIN(RADIANS($F$1))) * $E$1 + ($G$1 * TAN(RADIANS($I$1)))</f>
        <v>31.311</v>
      </c>
      <c r="E21" s="20" t="n">
        <f aca="false">(( -A21 - (-0.25) ) * COS(RADIANS($F$1)) - (B21 - 0) * SIN(RADIANS($F$1)) + (-0.25)) * $E$1 - ($G$1 * TAN(RADIANS($H$1)))</f>
        <v>-119.47275</v>
      </c>
    </row>
    <row r="22" customFormat="false" ht="18" hidden="false" customHeight="true" outlineLevel="0" collapsed="false">
      <c r="A22" s="21" t="n">
        <v>0.49265</v>
      </c>
      <c r="B22" s="21" t="n">
        <v>0.14604</v>
      </c>
      <c r="C22" s="22" t="n">
        <f aca="false">$G$1</f>
        <v>0</v>
      </c>
      <c r="D22" s="22" t="n">
        <f aca="false">(( -A22 - (-0.25) ) * SIN(RADIANS($F$1)) + (B22 - 0) * COS(RADIANS($F$1)) - 0.25 * SIN(RADIANS($F$1))) * $E$1 + ($G$1 * TAN(RADIANS($I$1)))</f>
        <v>32.859</v>
      </c>
      <c r="E22" s="22" t="n">
        <f aca="false">(( -A22 - (-0.25) ) * COS(RADIANS($F$1)) - (B22 - 0) * SIN(RADIANS($F$1)) + (-0.25)) * $E$1 - ($G$1 * TAN(RADIANS($H$1)))</f>
        <v>-110.84625</v>
      </c>
    </row>
    <row r="23" customFormat="false" ht="18" hidden="false" customHeight="true" outlineLevel="0" collapsed="false">
      <c r="A23" s="19" t="n">
        <v>0.45435</v>
      </c>
      <c r="B23" s="19" t="n">
        <v>0.15177</v>
      </c>
      <c r="C23" s="20" t="n">
        <f aca="false">$G$1</f>
        <v>0</v>
      </c>
      <c r="D23" s="20" t="n">
        <f aca="false">(( -A23 - (-0.25) ) * SIN(RADIANS($F$1)) + (B23 - 0) * COS(RADIANS($F$1)) - 0.25 * SIN(RADIANS($F$1))) * $E$1 + ($G$1 * TAN(RADIANS($I$1)))</f>
        <v>34.14825</v>
      </c>
      <c r="E23" s="20" t="n">
        <f aca="false">(( -A23 - (-0.25) ) * COS(RADIANS($F$1)) - (B23 - 0) * SIN(RADIANS($F$1)) + (-0.25)) * $E$1 - ($G$1 * TAN(RADIANS($H$1)))</f>
        <v>-102.22875</v>
      </c>
    </row>
    <row r="24" customFormat="false" ht="18" hidden="false" customHeight="true" outlineLevel="0" collapsed="false">
      <c r="A24" s="21" t="n">
        <v>0.41638</v>
      </c>
      <c r="B24" s="21" t="n">
        <v>0.15606</v>
      </c>
      <c r="C24" s="22" t="n">
        <f aca="false">$G$1</f>
        <v>0</v>
      </c>
      <c r="D24" s="22" t="n">
        <f aca="false">(( -A24 - (-0.25) ) * SIN(RADIANS($F$1)) + (B24 - 0) * COS(RADIANS($F$1)) - 0.25 * SIN(RADIANS($F$1))) * $E$1 + ($G$1 * TAN(RADIANS($I$1)))</f>
        <v>35.1135</v>
      </c>
      <c r="E24" s="22" t="n">
        <f aca="false">(( -A24 - (-0.25) ) * COS(RADIANS($F$1)) - (B24 - 0) * SIN(RADIANS($F$1)) + (-0.25)) * $E$1 - ($G$1 * TAN(RADIANS($H$1)))</f>
        <v>-93.6855</v>
      </c>
    </row>
    <row r="25" customFormat="false" ht="18" hidden="false" customHeight="true" outlineLevel="0" collapsed="false">
      <c r="A25" s="19" t="n">
        <v>0.37887</v>
      </c>
      <c r="B25" s="19" t="n">
        <v>0.15868</v>
      </c>
      <c r="C25" s="20" t="n">
        <f aca="false">$G$1</f>
        <v>0</v>
      </c>
      <c r="D25" s="20" t="n">
        <f aca="false">(( -A25 - (-0.25) ) * SIN(RADIANS($F$1)) + (B25 - 0) * COS(RADIANS($F$1)) - 0.25 * SIN(RADIANS($F$1))) * $E$1 + ($G$1 * TAN(RADIANS($I$1)))</f>
        <v>35.703</v>
      </c>
      <c r="E25" s="20" t="n">
        <f aca="false">(( -A25 - (-0.25) ) * COS(RADIANS($F$1)) - (B25 - 0) * SIN(RADIANS($F$1)) + (-0.25)) * $E$1 - ($G$1 * TAN(RADIANS($H$1)))</f>
        <v>-85.24575</v>
      </c>
    </row>
    <row r="26" customFormat="false" ht="18" hidden="false" customHeight="true" outlineLevel="0" collapsed="false">
      <c r="A26" s="21" t="n">
        <v>0.34204</v>
      </c>
      <c r="B26" s="21" t="n">
        <v>0.15944</v>
      </c>
      <c r="C26" s="22" t="n">
        <f aca="false">$G$1</f>
        <v>0</v>
      </c>
      <c r="D26" s="22" t="n">
        <f aca="false">(( -A26 - (-0.25) ) * SIN(RADIANS($F$1)) + (B26 - 0) * COS(RADIANS($F$1)) - 0.25 * SIN(RADIANS($F$1))) * $E$1 + ($G$1 * TAN(RADIANS($I$1)))</f>
        <v>35.874</v>
      </c>
      <c r="E26" s="22" t="n">
        <f aca="false">(( -A26 - (-0.25) ) * COS(RADIANS($F$1)) - (B26 - 0) * SIN(RADIANS($F$1)) + (-0.25)) * $E$1 - ($G$1 * TAN(RADIANS($H$1)))</f>
        <v>-76.959</v>
      </c>
    </row>
    <row r="27" customFormat="false" ht="18" hidden="false" customHeight="true" outlineLevel="0" collapsed="false">
      <c r="A27" s="19" t="n">
        <v>0.30609</v>
      </c>
      <c r="B27" s="19" t="n">
        <v>0.1582</v>
      </c>
      <c r="C27" s="20" t="n">
        <f aca="false">$G$1</f>
        <v>0</v>
      </c>
      <c r="D27" s="20" t="n">
        <f aca="false">(( -A27 - (-0.25) ) * SIN(RADIANS($F$1)) + (B27 - 0) * COS(RADIANS($F$1)) - 0.25 * SIN(RADIANS($F$1))) * $E$1 + ($G$1 * TAN(RADIANS($I$1)))</f>
        <v>35.595</v>
      </c>
      <c r="E27" s="20" t="n">
        <f aca="false">(( -A27 - (-0.25) ) * COS(RADIANS($F$1)) - (B27 - 0) * SIN(RADIANS($F$1)) + (-0.25)) * $E$1 - ($G$1 * TAN(RADIANS($H$1)))</f>
        <v>-68.87025</v>
      </c>
    </row>
    <row r="28" customFormat="false" ht="18" hidden="false" customHeight="true" outlineLevel="0" collapsed="false">
      <c r="A28" s="21" t="n">
        <v>0.2712</v>
      </c>
      <c r="B28" s="21" t="n">
        <v>0.15493</v>
      </c>
      <c r="C28" s="22" t="n">
        <f aca="false">$G$1</f>
        <v>0</v>
      </c>
      <c r="D28" s="22" t="n">
        <f aca="false">(( -A28 - (-0.25) ) * SIN(RADIANS($F$1)) + (B28 - 0) * COS(RADIANS($F$1)) - 0.25 * SIN(RADIANS($F$1))) * $E$1 + ($G$1 * TAN(RADIANS($I$1)))</f>
        <v>34.85925</v>
      </c>
      <c r="E28" s="22" t="n">
        <f aca="false">(( -A28 - (-0.25) ) * COS(RADIANS($F$1)) - (B28 - 0) * SIN(RADIANS($F$1)) + (-0.25)) * $E$1 - ($G$1 * TAN(RADIANS($H$1)))</f>
        <v>-61.02</v>
      </c>
    </row>
    <row r="29" customFormat="false" ht="18" hidden="false" customHeight="true" outlineLevel="0" collapsed="false">
      <c r="A29" s="19" t="n">
        <v>0.2376</v>
      </c>
      <c r="B29" s="19" t="n">
        <v>0.14964</v>
      </c>
      <c r="C29" s="20" t="n">
        <f aca="false">$G$1</f>
        <v>0</v>
      </c>
      <c r="D29" s="20" t="n">
        <f aca="false">(( -A29 - (-0.25) ) * SIN(RADIANS($F$1)) + (B29 - 0) * COS(RADIANS($F$1)) - 0.25 * SIN(RADIANS($F$1))) * $E$1 + ($G$1 * TAN(RADIANS($I$1)))</f>
        <v>33.669</v>
      </c>
      <c r="E29" s="20" t="n">
        <f aca="false">(( -A29 - (-0.25) ) * COS(RADIANS($F$1)) - (B29 - 0) * SIN(RADIANS($F$1)) + (-0.25)) * $E$1 - ($G$1 * TAN(RADIANS($H$1)))</f>
        <v>-53.46</v>
      </c>
    </row>
    <row r="30" customFormat="false" ht="18" hidden="false" customHeight="true" outlineLevel="0" collapsed="false">
      <c r="A30" s="21" t="n">
        <v>0.20549</v>
      </c>
      <c r="B30" s="21" t="n">
        <v>0.14243</v>
      </c>
      <c r="C30" s="22" t="n">
        <f aca="false">$G$1</f>
        <v>0</v>
      </c>
      <c r="D30" s="22" t="n">
        <f aca="false">(( -A30 - (-0.25) ) * SIN(RADIANS($F$1)) + (B30 - 0) * COS(RADIANS($F$1)) - 0.25 * SIN(RADIANS($F$1))) * $E$1 + ($G$1 * TAN(RADIANS($I$1)))</f>
        <v>32.04675</v>
      </c>
      <c r="E30" s="22" t="n">
        <f aca="false">(( -A30 - (-0.25) ) * COS(RADIANS($F$1)) - (B30 - 0) * SIN(RADIANS($F$1)) + (-0.25)) * $E$1 - ($G$1 * TAN(RADIANS($H$1)))</f>
        <v>-46.23525</v>
      </c>
    </row>
    <row r="31" customFormat="false" ht="18" hidden="false" customHeight="true" outlineLevel="0" collapsed="false">
      <c r="A31" s="19" t="n">
        <v>0.17504</v>
      </c>
      <c r="B31" s="19" t="n">
        <v>0.13344</v>
      </c>
      <c r="C31" s="20" t="n">
        <f aca="false">$G$1</f>
        <v>0</v>
      </c>
      <c r="D31" s="20" t="n">
        <f aca="false">(( -A31 - (-0.25) ) * SIN(RADIANS($F$1)) + (B31 - 0) * COS(RADIANS($F$1)) - 0.25 * SIN(RADIANS($F$1))) * $E$1 + ($G$1 * TAN(RADIANS($I$1)))</f>
        <v>30.024</v>
      </c>
      <c r="E31" s="20" t="n">
        <f aca="false">(( -A31 - (-0.25) ) * COS(RADIANS($F$1)) - (B31 - 0) * SIN(RADIANS($F$1)) + (-0.25)) * $E$1 - ($G$1 * TAN(RADIANS($H$1)))</f>
        <v>-39.384</v>
      </c>
    </row>
    <row r="32" customFormat="false" ht="18" hidden="false" customHeight="true" outlineLevel="0" collapsed="false">
      <c r="A32" s="21" t="n">
        <v>0.14648</v>
      </c>
      <c r="B32" s="21" t="n">
        <v>0.12292</v>
      </c>
      <c r="C32" s="22" t="n">
        <f aca="false">$G$1</f>
        <v>0</v>
      </c>
      <c r="D32" s="22" t="n">
        <f aca="false">(( -A32 - (-0.25) ) * SIN(RADIANS($F$1)) + (B32 - 0) * COS(RADIANS($F$1)) - 0.25 * SIN(RADIANS($F$1))) * $E$1 + ($G$1 * TAN(RADIANS($I$1)))</f>
        <v>27.657</v>
      </c>
      <c r="E32" s="22" t="n">
        <f aca="false">(( -A32 - (-0.25) ) * COS(RADIANS($F$1)) - (B32 - 0) * SIN(RADIANS($F$1)) + (-0.25)) * $E$1 - ($G$1 * TAN(RADIANS($H$1)))</f>
        <v>-32.958</v>
      </c>
    </row>
    <row r="33" customFormat="false" ht="18" hidden="false" customHeight="true" outlineLevel="0" collapsed="false">
      <c r="A33" s="19" t="n">
        <v>0.11999</v>
      </c>
      <c r="B33" s="19" t="n">
        <v>0.1111</v>
      </c>
      <c r="C33" s="20" t="n">
        <f aca="false">$G$1</f>
        <v>0</v>
      </c>
      <c r="D33" s="20" t="n">
        <f aca="false">(( -A33 - (-0.25) ) * SIN(RADIANS($F$1)) + (B33 - 0) * COS(RADIANS($F$1)) - 0.25 * SIN(RADIANS($F$1))) * $E$1 + ($G$1 * TAN(RADIANS($I$1)))</f>
        <v>24.9975</v>
      </c>
      <c r="E33" s="20" t="n">
        <f aca="false">(( -A33 - (-0.25) ) * COS(RADIANS($F$1)) - (B33 - 0) * SIN(RADIANS($F$1)) + (-0.25)) * $E$1 - ($G$1 * TAN(RADIANS($H$1)))</f>
        <v>-26.99775</v>
      </c>
    </row>
    <row r="34" customFormat="false" ht="18" hidden="false" customHeight="true" outlineLevel="0" collapsed="false">
      <c r="A34" s="21" t="n">
        <v>0.09576</v>
      </c>
      <c r="B34" s="21" t="n">
        <v>0.09826</v>
      </c>
      <c r="C34" s="22" t="n">
        <f aca="false">$G$1</f>
        <v>0</v>
      </c>
      <c r="D34" s="22" t="n">
        <f aca="false">(( -A34 - (-0.25) ) * SIN(RADIANS($F$1)) + (B34 - 0) * COS(RADIANS($F$1)) - 0.25 * SIN(RADIANS($F$1))) * $E$1 + ($G$1 * TAN(RADIANS($I$1)))</f>
        <v>22.1085</v>
      </c>
      <c r="E34" s="22" t="n">
        <f aca="false">(( -A34 - (-0.25) ) * COS(RADIANS($F$1)) - (B34 - 0) * SIN(RADIANS($F$1)) + (-0.25)) * $E$1 - ($G$1 * TAN(RADIANS($H$1)))</f>
        <v>-21.546</v>
      </c>
    </row>
    <row r="35" customFormat="false" ht="18" hidden="false" customHeight="true" outlineLevel="0" collapsed="false">
      <c r="A35" s="19" t="n">
        <v>0.07395</v>
      </c>
      <c r="B35" s="19" t="n">
        <v>0.08459</v>
      </c>
      <c r="C35" s="20" t="n">
        <f aca="false">$G$1</f>
        <v>0</v>
      </c>
      <c r="D35" s="20" t="n">
        <f aca="false">(( -A35 - (-0.25) ) * SIN(RADIANS($F$1)) + (B35 - 0) * COS(RADIANS($F$1)) - 0.25 * SIN(RADIANS($F$1))) * $E$1 + ($G$1 * TAN(RADIANS($I$1)))</f>
        <v>19.03275</v>
      </c>
      <c r="E35" s="20" t="n">
        <f aca="false">(( -A35 - (-0.25) ) * COS(RADIANS($F$1)) - (B35 - 0) * SIN(RADIANS($F$1)) + (-0.25)) * $E$1 - ($G$1 * TAN(RADIANS($H$1)))</f>
        <v>-16.63875</v>
      </c>
    </row>
    <row r="36" customFormat="false" ht="18" hidden="false" customHeight="true" outlineLevel="0" collapsed="false">
      <c r="A36" s="21" t="n">
        <v>0.05468</v>
      </c>
      <c r="B36" s="21" t="n">
        <v>0.0703</v>
      </c>
      <c r="C36" s="22" t="n">
        <f aca="false">$G$1</f>
        <v>0</v>
      </c>
      <c r="D36" s="22" t="n">
        <f aca="false">(( -A36 - (-0.25) ) * SIN(RADIANS($F$1)) + (B36 - 0) * COS(RADIANS($F$1)) - 0.25 * SIN(RADIANS($F$1))) * $E$1 + ($G$1 * TAN(RADIANS($I$1)))</f>
        <v>15.8175</v>
      </c>
      <c r="E36" s="22" t="n">
        <f aca="false">(( -A36 - (-0.25) ) * COS(RADIANS($F$1)) - (B36 - 0) * SIN(RADIANS($F$1)) + (-0.25)) * $E$1 - ($G$1 * TAN(RADIANS($H$1)))</f>
        <v>-12.303</v>
      </c>
    </row>
    <row r="37" customFormat="false" ht="18" hidden="false" customHeight="true" outlineLevel="0" collapsed="false">
      <c r="A37" s="19" t="n">
        <v>0.03811</v>
      </c>
      <c r="B37" s="19" t="n">
        <v>0.05576</v>
      </c>
      <c r="C37" s="20" t="n">
        <f aca="false">$G$1</f>
        <v>0</v>
      </c>
      <c r="D37" s="20" t="n">
        <f aca="false">(( -A37 - (-0.25) ) * SIN(RADIANS($F$1)) + (B37 - 0) * COS(RADIANS($F$1)) - 0.25 * SIN(RADIANS($F$1))) * $E$1 + ($G$1 * TAN(RADIANS($I$1)))</f>
        <v>12.546</v>
      </c>
      <c r="E37" s="20" t="n">
        <f aca="false">(( -A37 - (-0.25) ) * COS(RADIANS($F$1)) - (B37 - 0) * SIN(RADIANS($F$1)) + (-0.25)) * $E$1 - ($G$1 * TAN(RADIANS($H$1)))</f>
        <v>-8.57475</v>
      </c>
    </row>
    <row r="38" customFormat="false" ht="18" hidden="false" customHeight="true" outlineLevel="0" collapsed="false">
      <c r="A38" s="21" t="n">
        <v>0.02433</v>
      </c>
      <c r="B38" s="21" t="n">
        <v>0.04145</v>
      </c>
      <c r="C38" s="22" t="n">
        <f aca="false">$G$1</f>
        <v>0</v>
      </c>
      <c r="D38" s="22" t="n">
        <f aca="false">(( -A38 - (-0.25) ) * SIN(RADIANS($F$1)) + (B38 - 0) * COS(RADIANS($F$1)) - 0.25 * SIN(RADIANS($F$1))) * $E$1 + ($G$1 * TAN(RADIANS($I$1)))</f>
        <v>9.32625</v>
      </c>
      <c r="E38" s="22" t="n">
        <f aca="false">(( -A38 - (-0.25) ) * COS(RADIANS($F$1)) - (B38 - 0) * SIN(RADIANS($F$1)) + (-0.25)) * $E$1 - ($G$1 * TAN(RADIANS($H$1)))</f>
        <v>-5.47425</v>
      </c>
    </row>
    <row r="39" customFormat="false" ht="18" hidden="false" customHeight="true" outlineLevel="0" collapsed="false">
      <c r="A39" s="19" t="n">
        <v>0.01338</v>
      </c>
      <c r="B39" s="19" t="n">
        <v>0.02769</v>
      </c>
      <c r="C39" s="20" t="n">
        <f aca="false">$G$1</f>
        <v>0</v>
      </c>
      <c r="D39" s="20" t="n">
        <f aca="false">(( -A39 - (-0.25) ) * SIN(RADIANS($F$1)) + (B39 - 0) * COS(RADIANS($F$1)) - 0.25 * SIN(RADIANS($F$1))) * $E$1 + ($G$1 * TAN(RADIANS($I$1)))</f>
        <v>6.23025</v>
      </c>
      <c r="E39" s="20" t="n">
        <f aca="false">(( -A39 - (-0.25) ) * COS(RADIANS($F$1)) - (B39 - 0) * SIN(RADIANS($F$1)) + (-0.25)) * $E$1 - ($G$1 * TAN(RADIANS($H$1)))</f>
        <v>-3.0105</v>
      </c>
    </row>
    <row r="40" customFormat="false" ht="18" hidden="false" customHeight="true" outlineLevel="0" collapsed="false">
      <c r="A40" s="21" t="n">
        <v>0.00548</v>
      </c>
      <c r="B40" s="21" t="n">
        <v>0.01518</v>
      </c>
      <c r="C40" s="22" t="n">
        <f aca="false">$G$1</f>
        <v>0</v>
      </c>
      <c r="D40" s="22" t="n">
        <f aca="false">(( -A40 - (-0.25) ) * SIN(RADIANS($F$1)) + (B40 - 0) * COS(RADIANS($F$1)) - 0.25 * SIN(RADIANS($F$1))) * $E$1 + ($G$1 * TAN(RADIANS($I$1)))</f>
        <v>3.4155</v>
      </c>
      <c r="E40" s="22" t="n">
        <f aca="false">(( -A40 - (-0.25) ) * COS(RADIANS($F$1)) - (B40 - 0) * SIN(RADIANS($F$1)) + (-0.25)) * $E$1 - ($G$1 * TAN(RADIANS($H$1)))</f>
        <v>-1.233</v>
      </c>
    </row>
    <row r="41" customFormat="false" ht="18" hidden="false" customHeight="true" outlineLevel="0" collapsed="false">
      <c r="A41" s="19" t="n">
        <v>0.00098</v>
      </c>
      <c r="B41" s="19" t="n">
        <v>0.00518</v>
      </c>
      <c r="C41" s="20" t="n">
        <f aca="false">$G$1</f>
        <v>0</v>
      </c>
      <c r="D41" s="20" t="n">
        <f aca="false">(( -A41 - (-0.25) ) * SIN(RADIANS($F$1)) + (B41 - 0) * COS(RADIANS($F$1)) - 0.25 * SIN(RADIANS($F$1))) * $E$1 + ($G$1 * TAN(RADIANS($I$1)))</f>
        <v>1.1655</v>
      </c>
      <c r="E41" s="20" t="n">
        <f aca="false">(( -A41 - (-0.25) ) * COS(RADIANS($F$1)) - (B41 - 0) * SIN(RADIANS($F$1)) + (-0.25)) * $E$1 - ($G$1 * TAN(RADIANS($H$1)))</f>
        <v>-0.220500000000002</v>
      </c>
    </row>
    <row r="42" customFormat="false" ht="18" hidden="false" customHeight="true" outlineLevel="0" collapsed="false">
      <c r="A42" s="21" t="n">
        <v>0</v>
      </c>
      <c r="B42" s="21" t="n">
        <v>-0.00021</v>
      </c>
      <c r="C42" s="22" t="n">
        <f aca="false">$G$1</f>
        <v>0</v>
      </c>
      <c r="D42" s="22" t="n">
        <f aca="false">(( -A42 - (-0.25) ) * SIN(RADIANS($F$1)) + (B42 - 0) * COS(RADIANS($F$1)) - 0.25 * SIN(RADIANS($F$1))) * $E$1 + ($G$1 * TAN(RADIANS($I$1)))</f>
        <v>-0.04725</v>
      </c>
      <c r="E42" s="22" t="n">
        <f aca="false">(( -A42 - (-0.25) ) * COS(RADIANS($F$1)) - (B42 - 0) * SIN(RADIANS($F$1)) + (-0.25)) * $E$1 - ($G$1 * TAN(RADIANS($H$1)))</f>
        <v>0</v>
      </c>
    </row>
    <row r="43" customFormat="false" ht="18" hidden="false" customHeight="true" outlineLevel="0" collapsed="false">
      <c r="A43" s="19" t="n">
        <v>0.00098</v>
      </c>
      <c r="B43" s="19" t="n">
        <v>-0.00435</v>
      </c>
      <c r="C43" s="20" t="n">
        <f aca="false">$G$1</f>
        <v>0</v>
      </c>
      <c r="D43" s="20" t="n">
        <f aca="false">(( -A43 - (-0.25) ) * SIN(RADIANS($F$1)) + (B43 - 0) * COS(RADIANS($F$1)) - 0.25 * SIN(RADIANS($F$1))) * $E$1 + ($G$1 * TAN(RADIANS($I$1)))</f>
        <v>-0.97875</v>
      </c>
      <c r="E43" s="20" t="n">
        <f aca="false">(( -A43 - (-0.25) ) * COS(RADIANS($F$1)) - (B43 - 0) * SIN(RADIANS($F$1)) + (-0.25)) * $E$1 - ($G$1 * TAN(RADIANS($H$1)))</f>
        <v>-0.220500000000002</v>
      </c>
    </row>
    <row r="44" customFormat="false" ht="18" hidden="false" customHeight="true" outlineLevel="0" collapsed="false">
      <c r="A44" s="21" t="n">
        <v>0.00548</v>
      </c>
      <c r="B44" s="21" t="n">
        <v>-0.00787</v>
      </c>
      <c r="C44" s="22" t="n">
        <f aca="false">$G$1</f>
        <v>0</v>
      </c>
      <c r="D44" s="22" t="n">
        <f aca="false">(( -A44 - (-0.25) ) * SIN(RADIANS($F$1)) + (B44 - 0) * COS(RADIANS($F$1)) - 0.25 * SIN(RADIANS($F$1))) * $E$1 + ($G$1 * TAN(RADIANS($I$1)))</f>
        <v>-1.77075</v>
      </c>
      <c r="E44" s="22" t="n">
        <f aca="false">(( -A44 - (-0.25) ) * COS(RADIANS($F$1)) - (B44 - 0) * SIN(RADIANS($F$1)) + (-0.25)) * $E$1 - ($G$1 * TAN(RADIANS($H$1)))</f>
        <v>-1.233</v>
      </c>
    </row>
    <row r="45" customFormat="false" ht="18" hidden="false" customHeight="true" outlineLevel="0" collapsed="false">
      <c r="A45" s="19" t="n">
        <v>0.01338</v>
      </c>
      <c r="B45" s="19" t="n">
        <v>-0.00871</v>
      </c>
      <c r="C45" s="20" t="n">
        <f aca="false">$G$1</f>
        <v>0</v>
      </c>
      <c r="D45" s="20" t="n">
        <f aca="false">(( -A45 - (-0.25) ) * SIN(RADIANS($F$1)) + (B45 - 0) * COS(RADIANS($F$1)) - 0.25 * SIN(RADIANS($F$1))) * $E$1 + ($G$1 * TAN(RADIANS($I$1)))</f>
        <v>-1.95975</v>
      </c>
      <c r="E45" s="20" t="n">
        <f aca="false">(( -A45 - (-0.25) ) * COS(RADIANS($F$1)) - (B45 - 0) * SIN(RADIANS($F$1)) + (-0.25)) * $E$1 - ($G$1 * TAN(RADIANS($H$1)))</f>
        <v>-3.0105</v>
      </c>
    </row>
    <row r="46" customFormat="false" ht="18" hidden="false" customHeight="true" outlineLevel="0" collapsed="false">
      <c r="A46" s="21" t="n">
        <v>0.02433</v>
      </c>
      <c r="B46" s="21" t="n">
        <v>-0.00754</v>
      </c>
      <c r="C46" s="22" t="n">
        <f aca="false">$G$1</f>
        <v>0</v>
      </c>
      <c r="D46" s="22" t="n">
        <f aca="false">(( -A46 - (-0.25) ) * SIN(RADIANS($F$1)) + (B46 - 0) * COS(RADIANS($F$1)) - 0.25 * SIN(RADIANS($F$1))) * $E$1 + ($G$1 * TAN(RADIANS($I$1)))</f>
        <v>-1.6965</v>
      </c>
      <c r="E46" s="22" t="n">
        <f aca="false">(( -A46 - (-0.25) ) * COS(RADIANS($F$1)) - (B46 - 0) * SIN(RADIANS($F$1)) + (-0.25)) * $E$1 - ($G$1 * TAN(RADIANS($H$1)))</f>
        <v>-5.47425</v>
      </c>
    </row>
    <row r="47" customFormat="false" ht="18" hidden="false" customHeight="true" outlineLevel="0" collapsed="false">
      <c r="A47" s="19" t="n">
        <v>0.03811</v>
      </c>
      <c r="B47" s="19" t="n">
        <v>-0.00539</v>
      </c>
      <c r="C47" s="20" t="n">
        <f aca="false">$G$1</f>
        <v>0</v>
      </c>
      <c r="D47" s="20" t="n">
        <f aca="false">(( -A47 - (-0.25) ) * SIN(RADIANS($F$1)) + (B47 - 0) * COS(RADIANS($F$1)) - 0.25 * SIN(RADIANS($F$1))) * $E$1 + ($G$1 * TAN(RADIANS($I$1)))</f>
        <v>-1.21275</v>
      </c>
      <c r="E47" s="20" t="n">
        <f aca="false">(( -A47 - (-0.25) ) * COS(RADIANS($F$1)) - (B47 - 0) * SIN(RADIANS($F$1)) + (-0.25)) * $E$1 - ($G$1 * TAN(RADIANS($H$1)))</f>
        <v>-8.57475</v>
      </c>
    </row>
    <row r="48" customFormat="false" ht="18" hidden="false" customHeight="true" outlineLevel="0" collapsed="false">
      <c r="A48" s="21" t="n">
        <v>0.05468</v>
      </c>
      <c r="B48" s="21" t="n">
        <v>-0.00292</v>
      </c>
      <c r="C48" s="22" t="n">
        <f aca="false">$G$1</f>
        <v>0</v>
      </c>
      <c r="D48" s="22" t="n">
        <f aca="false">(( -A48 - (-0.25) ) * SIN(RADIANS($F$1)) + (B48 - 0) * COS(RADIANS($F$1)) - 0.25 * SIN(RADIANS($F$1))) * $E$1 + ($G$1 * TAN(RADIANS($I$1)))</f>
        <v>-0.657</v>
      </c>
      <c r="E48" s="22" t="n">
        <f aca="false">(( -A48 - (-0.25) ) * COS(RADIANS($F$1)) - (B48 - 0) * SIN(RADIANS($F$1)) + (-0.25)) * $E$1 - ($G$1 * TAN(RADIANS($H$1)))</f>
        <v>-12.303</v>
      </c>
    </row>
    <row r="49" customFormat="false" ht="18" hidden="false" customHeight="true" outlineLevel="0" collapsed="false">
      <c r="A49" s="19" t="n">
        <v>0.07395</v>
      </c>
      <c r="B49" s="19" t="n">
        <v>-0.00022</v>
      </c>
      <c r="C49" s="20" t="n">
        <f aca="false">$G$1</f>
        <v>0</v>
      </c>
      <c r="D49" s="20" t="n">
        <f aca="false">(( -A49 - (-0.25) ) * SIN(RADIANS($F$1)) + (B49 - 0) * COS(RADIANS($F$1)) - 0.25 * SIN(RADIANS($F$1))) * $E$1 + ($G$1 * TAN(RADIANS($I$1)))</f>
        <v>-0.0495</v>
      </c>
      <c r="E49" s="20" t="n">
        <f aca="false">(( -A49 - (-0.25) ) * COS(RADIANS($F$1)) - (B49 - 0) * SIN(RADIANS($F$1)) + (-0.25)) * $E$1 - ($G$1 * TAN(RADIANS($H$1)))</f>
        <v>-16.63875</v>
      </c>
    </row>
    <row r="50" customFormat="false" ht="18" hidden="false" customHeight="true" outlineLevel="0" collapsed="false">
      <c r="A50" s="21" t="n">
        <v>0.09576</v>
      </c>
      <c r="B50" s="21" t="n">
        <v>0.0027</v>
      </c>
      <c r="C50" s="22" t="n">
        <f aca="false">$G$1</f>
        <v>0</v>
      </c>
      <c r="D50" s="22" t="n">
        <f aca="false">(( -A50 - (-0.25) ) * SIN(RADIANS($F$1)) + (B50 - 0) * COS(RADIANS($F$1)) - 0.25 * SIN(RADIANS($F$1))) * $E$1 + ($G$1 * TAN(RADIANS($I$1)))</f>
        <v>0.6075</v>
      </c>
      <c r="E50" s="22" t="n">
        <f aca="false">(( -A50 - (-0.25) ) * COS(RADIANS($F$1)) - (B50 - 0) * SIN(RADIANS($F$1)) + (-0.25)) * $E$1 - ($G$1 * TAN(RADIANS($H$1)))</f>
        <v>-21.546</v>
      </c>
    </row>
    <row r="51" customFormat="false" ht="18" hidden="false" customHeight="true" outlineLevel="0" collapsed="false">
      <c r="A51" s="19" t="n">
        <v>0.11999</v>
      </c>
      <c r="B51" s="19" t="n">
        <v>0.00584</v>
      </c>
      <c r="C51" s="20" t="n">
        <f aca="false">$G$1</f>
        <v>0</v>
      </c>
      <c r="D51" s="20" t="n">
        <f aca="false">(( -A51 - (-0.25) ) * SIN(RADIANS($F$1)) + (B51 - 0) * COS(RADIANS($F$1)) - 0.25 * SIN(RADIANS($F$1))) * $E$1 + ($G$1 * TAN(RADIANS($I$1)))</f>
        <v>1.314</v>
      </c>
      <c r="E51" s="20" t="n">
        <f aca="false">(( -A51 - (-0.25) ) * COS(RADIANS($F$1)) - (B51 - 0) * SIN(RADIANS($F$1)) + (-0.25)) * $E$1 - ($G$1 * TAN(RADIANS($H$1)))</f>
        <v>-26.99775</v>
      </c>
    </row>
    <row r="52" customFormat="false" ht="18" hidden="false" customHeight="true" outlineLevel="0" collapsed="false">
      <c r="A52" s="21" t="n">
        <v>0.14648</v>
      </c>
      <c r="B52" s="21" t="n">
        <v>0.00921</v>
      </c>
      <c r="C52" s="22" t="n">
        <f aca="false">$G$1</f>
        <v>0</v>
      </c>
      <c r="D52" s="22" t="n">
        <f aca="false">(( -A52 - (-0.25) ) * SIN(RADIANS($F$1)) + (B52 - 0) * COS(RADIANS($F$1)) - 0.25 * SIN(RADIANS($F$1))) * $E$1 + ($G$1 * TAN(RADIANS($I$1)))</f>
        <v>2.07225</v>
      </c>
      <c r="E52" s="22" t="n">
        <f aca="false">(( -A52 - (-0.25) ) * COS(RADIANS($F$1)) - (B52 - 0) * SIN(RADIANS($F$1)) + (-0.25)) * $E$1 - ($G$1 * TAN(RADIANS($H$1)))</f>
        <v>-32.958</v>
      </c>
    </row>
    <row r="53" customFormat="false" ht="18" hidden="false" customHeight="true" outlineLevel="0" collapsed="false">
      <c r="A53" s="19" t="n">
        <v>0.17504</v>
      </c>
      <c r="B53" s="19" t="n">
        <v>0.01279</v>
      </c>
      <c r="C53" s="20" t="n">
        <f aca="false">$G$1</f>
        <v>0</v>
      </c>
      <c r="D53" s="20" t="n">
        <f aca="false">(( -A53 - (-0.25) ) * SIN(RADIANS($F$1)) + (B53 - 0) * COS(RADIANS($F$1)) - 0.25 * SIN(RADIANS($F$1))) * $E$1 + ($G$1 * TAN(RADIANS($I$1)))</f>
        <v>2.87775</v>
      </c>
      <c r="E53" s="20" t="n">
        <f aca="false">(( -A53 - (-0.25) ) * COS(RADIANS($F$1)) - (B53 - 0) * SIN(RADIANS($F$1)) + (-0.25)) * $E$1 - ($G$1 * TAN(RADIANS($H$1)))</f>
        <v>-39.384</v>
      </c>
    </row>
    <row r="54" customFormat="false" ht="18" hidden="false" customHeight="true" outlineLevel="0" collapsed="false">
      <c r="A54" s="21" t="n">
        <v>0.20549</v>
      </c>
      <c r="B54" s="21" t="n">
        <v>0.01651</v>
      </c>
      <c r="C54" s="22" t="n">
        <f aca="false">$G$1</f>
        <v>0</v>
      </c>
      <c r="D54" s="22" t="n">
        <f aca="false">(( -A54 - (-0.25) ) * SIN(RADIANS($F$1)) + (B54 - 0) * COS(RADIANS($F$1)) - 0.25 * SIN(RADIANS($F$1))) * $E$1 + ($G$1 * TAN(RADIANS($I$1)))</f>
        <v>3.71475</v>
      </c>
      <c r="E54" s="22" t="n">
        <f aca="false">(( -A54 - (-0.25) ) * COS(RADIANS($F$1)) - (B54 - 0) * SIN(RADIANS($F$1)) + (-0.25)) * $E$1 - ($G$1 * TAN(RADIANS($H$1)))</f>
        <v>-46.23525</v>
      </c>
    </row>
    <row r="55" customFormat="false" ht="18" hidden="false" customHeight="true" outlineLevel="0" collapsed="false">
      <c r="A55" s="19" t="n">
        <v>0.2376</v>
      </c>
      <c r="B55" s="19" t="n">
        <v>0.0203</v>
      </c>
      <c r="C55" s="20" t="n">
        <f aca="false">$G$1</f>
        <v>0</v>
      </c>
      <c r="D55" s="20" t="n">
        <f aca="false">(( -A55 - (-0.25) ) * SIN(RADIANS($F$1)) + (B55 - 0) * COS(RADIANS($F$1)) - 0.25 * SIN(RADIANS($F$1))) * $E$1 + ($G$1 * TAN(RADIANS($I$1)))</f>
        <v>4.5675</v>
      </c>
      <c r="E55" s="20" t="n">
        <f aca="false">(( -A55 - (-0.25) ) * COS(RADIANS($F$1)) - (B55 - 0) * SIN(RADIANS($F$1)) + (-0.25)) * $E$1 - ($G$1 * TAN(RADIANS($H$1)))</f>
        <v>-53.46</v>
      </c>
    </row>
    <row r="56" customFormat="false" ht="18" hidden="false" customHeight="true" outlineLevel="0" collapsed="false">
      <c r="A56" s="21" t="n">
        <v>0.2712</v>
      </c>
      <c r="B56" s="21" t="n">
        <v>0.0241</v>
      </c>
      <c r="C56" s="22" t="n">
        <f aca="false">$G$1</f>
        <v>0</v>
      </c>
      <c r="D56" s="22" t="n">
        <f aca="false">(( -A56 - (-0.25) ) * SIN(RADIANS($F$1)) + (B56 - 0) * COS(RADIANS($F$1)) - 0.25 * SIN(RADIANS($F$1))) * $E$1 + ($G$1 * TAN(RADIANS($I$1)))</f>
        <v>5.4225</v>
      </c>
      <c r="E56" s="22" t="n">
        <f aca="false">(( -A56 - (-0.25) ) * COS(RADIANS($F$1)) - (B56 - 0) * SIN(RADIANS($F$1)) + (-0.25)) * $E$1 - ($G$1 * TAN(RADIANS($H$1)))</f>
        <v>-61.02</v>
      </c>
    </row>
    <row r="57" customFormat="false" ht="18" hidden="false" customHeight="true" outlineLevel="0" collapsed="false">
      <c r="A57" s="19" t="n">
        <v>0.30609</v>
      </c>
      <c r="B57" s="19" t="n">
        <v>0.02786</v>
      </c>
      <c r="C57" s="20" t="n">
        <f aca="false">$G$1</f>
        <v>0</v>
      </c>
      <c r="D57" s="20" t="n">
        <f aca="false">(( -A57 - (-0.25) ) * SIN(RADIANS($F$1)) + (B57 - 0) * COS(RADIANS($F$1)) - 0.25 * SIN(RADIANS($F$1))) * $E$1 + ($G$1 * TAN(RADIANS($I$1)))</f>
        <v>6.2685</v>
      </c>
      <c r="E57" s="20" t="n">
        <f aca="false">(( -A57 - (-0.25) ) * COS(RADIANS($F$1)) - (B57 - 0) * SIN(RADIANS($F$1)) + (-0.25)) * $E$1 - ($G$1 * TAN(RADIANS($H$1)))</f>
        <v>-68.87025</v>
      </c>
    </row>
    <row r="58" customFormat="false" ht="18" hidden="false" customHeight="true" outlineLevel="0" collapsed="false">
      <c r="A58" s="21" t="n">
        <v>0.34204</v>
      </c>
      <c r="B58" s="21" t="n">
        <v>0.03152</v>
      </c>
      <c r="C58" s="22" t="n">
        <f aca="false">$G$1</f>
        <v>0</v>
      </c>
      <c r="D58" s="22" t="n">
        <f aca="false">(( -A58 - (-0.25) ) * SIN(RADIANS($F$1)) + (B58 - 0) * COS(RADIANS($F$1)) - 0.25 * SIN(RADIANS($F$1))) * $E$1 + ($G$1 * TAN(RADIANS($I$1)))</f>
        <v>7.092</v>
      </c>
      <c r="E58" s="22" t="n">
        <f aca="false">(( -A58 - (-0.25) ) * COS(RADIANS($F$1)) - (B58 - 0) * SIN(RADIANS($F$1)) + (-0.25)) * $E$1 - ($G$1 * TAN(RADIANS($H$1)))</f>
        <v>-76.959</v>
      </c>
    </row>
    <row r="59" customFormat="false" ht="18" hidden="false" customHeight="true" outlineLevel="0" collapsed="false">
      <c r="A59" s="19" t="n">
        <v>0.37887</v>
      </c>
      <c r="B59" s="19" t="n">
        <v>0.03503</v>
      </c>
      <c r="C59" s="20" t="n">
        <f aca="false">$G$1</f>
        <v>0</v>
      </c>
      <c r="D59" s="20" t="n">
        <f aca="false">(( -A59 - (-0.25) ) * SIN(RADIANS($F$1)) + (B59 - 0) * COS(RADIANS($F$1)) - 0.25 * SIN(RADIANS($F$1))) * $E$1 + ($G$1 * TAN(RADIANS($I$1)))</f>
        <v>7.88175</v>
      </c>
      <c r="E59" s="20" t="n">
        <f aca="false">(( -A59 - (-0.25) ) * COS(RADIANS($F$1)) - (B59 - 0) * SIN(RADIANS($F$1)) + (-0.25)) * $E$1 - ($G$1 * TAN(RADIANS($H$1)))</f>
        <v>-85.24575</v>
      </c>
    </row>
    <row r="60" customFormat="false" ht="18" hidden="false" customHeight="true" outlineLevel="0" collapsed="false">
      <c r="A60" s="21" t="n">
        <v>0.41638</v>
      </c>
      <c r="B60" s="21" t="n">
        <v>0.03832</v>
      </c>
      <c r="C60" s="22" t="n">
        <f aca="false">$G$1</f>
        <v>0</v>
      </c>
      <c r="D60" s="22" t="n">
        <f aca="false">(( -A60 - (-0.25) ) * SIN(RADIANS($F$1)) + (B60 - 0) * COS(RADIANS($F$1)) - 0.25 * SIN(RADIANS($F$1))) * $E$1 + ($G$1 * TAN(RADIANS($I$1)))</f>
        <v>8.622</v>
      </c>
      <c r="E60" s="22" t="n">
        <f aca="false">(( -A60 - (-0.25) ) * COS(RADIANS($F$1)) - (B60 - 0) * SIN(RADIANS($F$1)) + (-0.25)) * $E$1 - ($G$1 * TAN(RADIANS($H$1)))</f>
        <v>-93.6855</v>
      </c>
    </row>
    <row r="61" customFormat="false" ht="18" hidden="false" customHeight="true" outlineLevel="0" collapsed="false">
      <c r="A61" s="19" t="n">
        <v>0.45435</v>
      </c>
      <c r="B61" s="19" t="n">
        <v>0.04134</v>
      </c>
      <c r="C61" s="20" t="n">
        <f aca="false">$G$1</f>
        <v>0</v>
      </c>
      <c r="D61" s="20" t="n">
        <f aca="false">(( -A61 - (-0.25) ) * SIN(RADIANS($F$1)) + (B61 - 0) * COS(RADIANS($F$1)) - 0.25 * SIN(RADIANS($F$1))) * $E$1 + ($G$1 * TAN(RADIANS($I$1)))</f>
        <v>9.3015</v>
      </c>
      <c r="E61" s="20" t="n">
        <f aca="false">(( -A61 - (-0.25) ) * COS(RADIANS($F$1)) - (B61 - 0) * SIN(RADIANS($F$1)) + (-0.25)) * $E$1 - ($G$1 * TAN(RADIANS($H$1)))</f>
        <v>-102.22875</v>
      </c>
    </row>
    <row r="62" customFormat="false" ht="18" hidden="false" customHeight="true" outlineLevel="0" collapsed="false">
      <c r="A62" s="21" t="n">
        <v>0.49265</v>
      </c>
      <c r="B62" s="21" t="n">
        <v>0.044</v>
      </c>
      <c r="C62" s="22" t="n">
        <f aca="false">$G$1</f>
        <v>0</v>
      </c>
      <c r="D62" s="22" t="n">
        <f aca="false">(( -A62 - (-0.25) ) * SIN(RADIANS($F$1)) + (B62 - 0) * COS(RADIANS($F$1)) - 0.25 * SIN(RADIANS($F$1))) * $E$1 + ($G$1 * TAN(RADIANS($I$1)))</f>
        <v>9.9</v>
      </c>
      <c r="E62" s="22" t="n">
        <f aca="false">(( -A62 - (-0.25) ) * COS(RADIANS($F$1)) - (B62 - 0) * SIN(RADIANS($F$1)) + (-0.25)) * $E$1 - ($G$1 * TAN(RADIANS($H$1)))</f>
        <v>-110.84625</v>
      </c>
    </row>
    <row r="63" customFormat="false" ht="18" hidden="false" customHeight="true" outlineLevel="0" collapsed="false">
      <c r="A63" s="19" t="n">
        <v>0.53099</v>
      </c>
      <c r="B63" s="19" t="n">
        <v>0.04624</v>
      </c>
      <c r="C63" s="20" t="n">
        <f aca="false">$G$1</f>
        <v>0</v>
      </c>
      <c r="D63" s="20" t="n">
        <f aca="false">(( -A63 - (-0.25) ) * SIN(RADIANS($F$1)) + (B63 - 0) * COS(RADIANS($F$1)) - 0.25 * SIN(RADIANS($F$1))) * $E$1 + ($G$1 * TAN(RADIANS($I$1)))</f>
        <v>10.404</v>
      </c>
      <c r="E63" s="20" t="n">
        <f aca="false">(( -A63 - (-0.25) ) * COS(RADIANS($F$1)) - (B63 - 0) * SIN(RADIANS($F$1)) + (-0.25)) * $E$1 - ($G$1 * TAN(RADIANS($H$1)))</f>
        <v>-119.47275</v>
      </c>
    </row>
    <row r="64" customFormat="false" ht="18" hidden="false" customHeight="true" outlineLevel="0" collapsed="false">
      <c r="A64" s="21" t="n">
        <v>0.56937</v>
      </c>
      <c r="B64" s="21" t="n">
        <v>0.04801</v>
      </c>
      <c r="C64" s="22" t="n">
        <f aca="false">$G$1</f>
        <v>0</v>
      </c>
      <c r="D64" s="22" t="n">
        <f aca="false">(( -A64 - (-0.25) ) * SIN(RADIANS($F$1)) + (B64 - 0) * COS(RADIANS($F$1)) - 0.25 * SIN(RADIANS($F$1))) * $E$1 + ($G$1 * TAN(RADIANS($I$1)))</f>
        <v>10.80225</v>
      </c>
      <c r="E64" s="22" t="n">
        <f aca="false">(( -A64 - (-0.25) ) * COS(RADIANS($F$1)) - (B64 - 0) * SIN(RADIANS($F$1)) + (-0.25)) * $E$1 - ($G$1 * TAN(RADIANS($H$1)))</f>
        <v>-128.10825</v>
      </c>
    </row>
    <row r="65" customFormat="false" ht="18" hidden="false" customHeight="true" outlineLevel="0" collapsed="false">
      <c r="A65" s="19" t="n">
        <v>0.60778</v>
      </c>
      <c r="B65" s="19" t="n">
        <v>0.04925</v>
      </c>
      <c r="C65" s="20" t="n">
        <f aca="false">$G$1</f>
        <v>0</v>
      </c>
      <c r="D65" s="20" t="n">
        <f aca="false">(( -A65 - (-0.25) ) * SIN(RADIANS($F$1)) + (B65 - 0) * COS(RADIANS($F$1)) - 0.25 * SIN(RADIANS($F$1))) * $E$1 + ($G$1 * TAN(RADIANS($I$1)))</f>
        <v>11.08125</v>
      </c>
      <c r="E65" s="20" t="n">
        <f aca="false">(( -A65 - (-0.25) ) * COS(RADIANS($F$1)) - (B65 - 0) * SIN(RADIANS($F$1)) + (-0.25)) * $E$1 - ($G$1 * TAN(RADIANS($H$1)))</f>
        <v>-136.7505</v>
      </c>
    </row>
    <row r="66" customFormat="false" ht="18" hidden="false" customHeight="true" outlineLevel="0" collapsed="false">
      <c r="A66" s="21" t="n">
        <v>0.64594</v>
      </c>
      <c r="B66" s="21" t="n">
        <v>0.04992</v>
      </c>
      <c r="C66" s="22" t="n">
        <f aca="false">$G$1</f>
        <v>0</v>
      </c>
      <c r="D66" s="22" t="n">
        <f aca="false">(( -A66 - (-0.25) ) * SIN(RADIANS($F$1)) + (B66 - 0) * COS(RADIANS($F$1)) - 0.25 * SIN(RADIANS($F$1))) * $E$1 + ($G$1 * TAN(RADIANS($I$1)))</f>
        <v>11.232</v>
      </c>
      <c r="E66" s="22" t="n">
        <f aca="false">(( -A66 - (-0.25) ) * COS(RADIANS($F$1)) - (B66 - 0) * SIN(RADIANS($F$1)) + (-0.25)) * $E$1 - ($G$1 * TAN(RADIANS($H$1)))</f>
        <v>-145.3365</v>
      </c>
    </row>
    <row r="67" customFormat="false" ht="18" hidden="false" customHeight="true" outlineLevel="0" collapsed="false">
      <c r="A67" s="19" t="n">
        <v>0.68359</v>
      </c>
      <c r="B67" s="19" t="n">
        <v>0.04997</v>
      </c>
      <c r="C67" s="20" t="n">
        <f aca="false">$G$1</f>
        <v>0</v>
      </c>
      <c r="D67" s="20" t="n">
        <f aca="false">(( -A67 - (-0.25) ) * SIN(RADIANS($F$1)) + (B67 - 0) * COS(RADIANS($F$1)) - 0.25 * SIN(RADIANS($F$1))) * $E$1 + ($G$1 * TAN(RADIANS($I$1)))</f>
        <v>11.24325</v>
      </c>
      <c r="E67" s="20" t="n">
        <f aca="false">(( -A67 - (-0.25) ) * COS(RADIANS($F$1)) - (B67 - 0) * SIN(RADIANS($F$1)) + (-0.25)) * $E$1 - ($G$1 * TAN(RADIANS($H$1)))</f>
        <v>-153.80775</v>
      </c>
    </row>
    <row r="68" customFormat="false" ht="18" hidden="false" customHeight="true" outlineLevel="0" collapsed="false">
      <c r="A68" s="21" t="n">
        <v>0.72043</v>
      </c>
      <c r="B68" s="21" t="n">
        <v>0.04936</v>
      </c>
      <c r="C68" s="22" t="n">
        <f aca="false">$G$1</f>
        <v>0</v>
      </c>
      <c r="D68" s="22" t="n">
        <f aca="false">(( -A68 - (-0.25) ) * SIN(RADIANS($F$1)) + (B68 - 0) * COS(RADIANS($F$1)) - 0.25 * SIN(RADIANS($F$1))) * $E$1 + ($G$1 * TAN(RADIANS($I$1)))</f>
        <v>11.106</v>
      </c>
      <c r="E68" s="22" t="n">
        <f aca="false">(( -A68 - (-0.25) ) * COS(RADIANS($F$1)) - (B68 - 0) * SIN(RADIANS($F$1)) + (-0.25)) * $E$1 - ($G$1 * TAN(RADIANS($H$1)))</f>
        <v>-162.09675</v>
      </c>
    </row>
    <row r="69" customFormat="false" ht="18" hidden="false" customHeight="true" outlineLevel="0" collapsed="false">
      <c r="A69" s="19" t="n">
        <v>0.75616</v>
      </c>
      <c r="B69" s="19" t="n">
        <v>0.04807</v>
      </c>
      <c r="C69" s="20" t="n">
        <f aca="false">$G$1</f>
        <v>0</v>
      </c>
      <c r="D69" s="20" t="n">
        <f aca="false">(( -A69 - (-0.25) ) * SIN(RADIANS($F$1)) + (B69 - 0) * COS(RADIANS($F$1)) - 0.25 * SIN(RADIANS($F$1))) * $E$1 + ($G$1 * TAN(RADIANS($I$1)))</f>
        <v>10.81575</v>
      </c>
      <c r="E69" s="20" t="n">
        <f aca="false">(( -A69 - (-0.25) ) * COS(RADIANS($F$1)) - (B69 - 0) * SIN(RADIANS($F$1)) + (-0.25)) * $E$1 - ($G$1 * TAN(RADIANS($H$1)))</f>
        <v>-170.136</v>
      </c>
    </row>
    <row r="70" customFormat="false" ht="18" hidden="false" customHeight="true" outlineLevel="0" collapsed="false">
      <c r="A70" s="21" t="n">
        <v>0.79048</v>
      </c>
      <c r="B70" s="21" t="n">
        <v>0.04608</v>
      </c>
      <c r="C70" s="22" t="n">
        <f aca="false">$G$1</f>
        <v>0</v>
      </c>
      <c r="D70" s="22" t="n">
        <f aca="false">(( -A70 - (-0.25) ) * SIN(RADIANS($F$1)) + (B70 - 0) * COS(RADIANS($F$1)) - 0.25 * SIN(RADIANS($F$1))) * $E$1 + ($G$1 * TAN(RADIANS($I$1)))</f>
        <v>10.368</v>
      </c>
      <c r="E70" s="22" t="n">
        <f aca="false">(( -A70 - (-0.25) ) * COS(RADIANS($F$1)) - (B70 - 0) * SIN(RADIANS($F$1)) + (-0.25)) * $E$1 - ($G$1 * TAN(RADIANS($H$1)))</f>
        <v>-177.858</v>
      </c>
    </row>
    <row r="71" customFormat="false" ht="18" hidden="false" customHeight="true" outlineLevel="0" collapsed="false">
      <c r="A71" s="19" t="n">
        <v>0.82309</v>
      </c>
      <c r="B71" s="19" t="n">
        <v>0.04334</v>
      </c>
      <c r="C71" s="20" t="n">
        <f aca="false">$G$1</f>
        <v>0</v>
      </c>
      <c r="D71" s="20" t="n">
        <f aca="false">(( -A71 - (-0.25) ) * SIN(RADIANS($F$1)) + (B71 - 0) * COS(RADIANS($F$1)) - 0.25 * SIN(RADIANS($F$1))) * $E$1 + ($G$1 * TAN(RADIANS($I$1)))</f>
        <v>9.7515</v>
      </c>
      <c r="E71" s="20" t="n">
        <f aca="false">(( -A71 - (-0.25) ) * COS(RADIANS($F$1)) - (B71 - 0) * SIN(RADIANS($F$1)) + (-0.25)) * $E$1 - ($G$1 * TAN(RADIANS($H$1)))</f>
        <v>-185.19525</v>
      </c>
    </row>
    <row r="72" customFormat="false" ht="18" hidden="false" customHeight="true" outlineLevel="0" collapsed="false">
      <c r="A72" s="21" t="n">
        <v>0.8537</v>
      </c>
      <c r="B72" s="21" t="n">
        <v>0.03978</v>
      </c>
      <c r="C72" s="22" t="n">
        <f aca="false">$G$1</f>
        <v>0</v>
      </c>
      <c r="D72" s="22" t="n">
        <f aca="false">(( -A72 - (-0.25) ) * SIN(RADIANS($F$1)) + (B72 - 0) * COS(RADIANS($F$1)) - 0.25 * SIN(RADIANS($F$1))) * $E$1 + ($G$1 * TAN(RADIANS($I$1)))</f>
        <v>8.9505</v>
      </c>
      <c r="E72" s="22" t="n">
        <f aca="false">(( -A72 - (-0.25) ) * COS(RADIANS($F$1)) - (B72 - 0) * SIN(RADIANS($F$1)) + (-0.25)) * $E$1 - ($G$1 * TAN(RADIANS($H$1)))</f>
        <v>-192.0825</v>
      </c>
    </row>
    <row r="73" customFormat="false" ht="18" hidden="false" customHeight="true" outlineLevel="0" collapsed="false">
      <c r="A73" s="19" t="n">
        <v>0.88202</v>
      </c>
      <c r="B73" s="19" t="n">
        <v>0.03537</v>
      </c>
      <c r="C73" s="20" t="n">
        <f aca="false">$G$1</f>
        <v>0</v>
      </c>
      <c r="D73" s="20" t="n">
        <f aca="false">(( -A73 - (-0.25) ) * SIN(RADIANS($F$1)) + (B73 - 0) * COS(RADIANS($F$1)) - 0.25 * SIN(RADIANS($F$1))) * $E$1 + ($G$1 * TAN(RADIANS($I$1)))</f>
        <v>7.95825</v>
      </c>
      <c r="E73" s="20" t="n">
        <f aca="false">(( -A73 - (-0.25) ) * COS(RADIANS($F$1)) - (B73 - 0) * SIN(RADIANS($F$1)) + (-0.25)) * $E$1 - ($G$1 * TAN(RADIANS($H$1)))</f>
        <v>-198.4545</v>
      </c>
    </row>
    <row r="74" customFormat="false" ht="18" hidden="false" customHeight="true" outlineLevel="0" collapsed="false">
      <c r="A74" s="21" t="n">
        <v>0.90775</v>
      </c>
      <c r="B74" s="21" t="n">
        <v>0.03013</v>
      </c>
      <c r="C74" s="22" t="n">
        <f aca="false">$G$1</f>
        <v>0</v>
      </c>
      <c r="D74" s="22" t="n">
        <f aca="false">(( -A74 - (-0.25) ) * SIN(RADIANS($F$1)) + (B74 - 0) * COS(RADIANS($F$1)) - 0.25 * SIN(RADIANS($F$1))) * $E$1 + ($G$1 * TAN(RADIANS($I$1)))</f>
        <v>6.77925</v>
      </c>
      <c r="E74" s="22" t="n">
        <f aca="false">(( -A74 - (-0.25) ) * COS(RADIANS($F$1)) - (B74 - 0) * SIN(RADIANS($F$1)) + (-0.25)) * $E$1 - ($G$1 * TAN(RADIANS($H$1)))</f>
        <v>-204.24375</v>
      </c>
    </row>
    <row r="75" customFormat="false" ht="18" hidden="false" customHeight="true" outlineLevel="0" collapsed="false">
      <c r="A75" s="19" t="n">
        <v>0.93064</v>
      </c>
      <c r="B75" s="19" t="n">
        <v>0.02434</v>
      </c>
      <c r="C75" s="20" t="n">
        <f aca="false">$G$1</f>
        <v>0</v>
      </c>
      <c r="D75" s="20" t="n">
        <f aca="false">(( -A75 - (-0.25) ) * SIN(RADIANS($F$1)) + (B75 - 0) * COS(RADIANS($F$1)) - 0.25 * SIN(RADIANS($F$1))) * $E$1 + ($G$1 * TAN(RADIANS($I$1)))</f>
        <v>5.4765</v>
      </c>
      <c r="E75" s="20" t="n">
        <f aca="false">(( -A75 - (-0.25) ) * COS(RADIANS($F$1)) - (B75 - 0) * SIN(RADIANS($F$1)) + (-0.25)) * $E$1 - ($G$1 * TAN(RADIANS($H$1)))</f>
        <v>-209.394</v>
      </c>
    </row>
    <row r="76" customFormat="false" ht="18" hidden="false" customHeight="true" outlineLevel="0" collapsed="false">
      <c r="A76" s="21" t="n">
        <v>0.95044</v>
      </c>
      <c r="B76" s="21" t="n">
        <v>0.01851</v>
      </c>
      <c r="C76" s="22" t="n">
        <f aca="false">$G$1</f>
        <v>0</v>
      </c>
      <c r="D76" s="22" t="n">
        <f aca="false">(( -A76 - (-0.25) ) * SIN(RADIANS($F$1)) + (B76 - 0) * COS(RADIANS($F$1)) - 0.25 * SIN(RADIANS($F$1))) * $E$1 + ($G$1 * TAN(RADIANS($I$1)))</f>
        <v>4.16475</v>
      </c>
      <c r="E76" s="22" t="n">
        <f aca="false">(( -A76 - (-0.25) ) * COS(RADIANS($F$1)) - (B76 - 0) * SIN(RADIANS($F$1)) + (-0.25)) * $E$1 - ($G$1 * TAN(RADIANS($H$1)))</f>
        <v>-213.849</v>
      </c>
    </row>
    <row r="77" customFormat="false" ht="18" hidden="false" customHeight="true" outlineLevel="0" collapsed="false">
      <c r="A77" s="19" t="n">
        <v>0.96698</v>
      </c>
      <c r="B77" s="19" t="n">
        <v>0.0129</v>
      </c>
      <c r="C77" s="20" t="n">
        <f aca="false">$G$1</f>
        <v>0</v>
      </c>
      <c r="D77" s="20" t="n">
        <f aca="false">(( -A77 - (-0.25) ) * SIN(RADIANS($F$1)) + (B77 - 0) * COS(RADIANS($F$1)) - 0.25 * SIN(RADIANS($F$1))) * $E$1 + ($G$1 * TAN(RADIANS($I$1)))</f>
        <v>2.9025</v>
      </c>
      <c r="E77" s="20" t="n">
        <f aca="false">(( -A77 - (-0.25) ) * COS(RADIANS($F$1)) - (B77 - 0) * SIN(RADIANS($F$1)) + (-0.25)) * $E$1 - ($G$1 * TAN(RADIANS($H$1)))</f>
        <v>-217.5705</v>
      </c>
    </row>
    <row r="78" customFormat="false" ht="18" hidden="false" customHeight="true" outlineLevel="0" collapsed="false">
      <c r="A78" s="21" t="n">
        <v>0.98037</v>
      </c>
      <c r="B78" s="21" t="n">
        <v>0.00756</v>
      </c>
      <c r="C78" s="22" t="n">
        <f aca="false">$G$1</f>
        <v>0</v>
      </c>
      <c r="D78" s="22" t="n">
        <f aca="false">(( -A78 - (-0.25) ) * SIN(RADIANS($F$1)) + (B78 - 0) * COS(RADIANS($F$1)) - 0.25 * SIN(RADIANS($F$1))) * $E$1 + ($G$1 * TAN(RADIANS($I$1)))</f>
        <v>1.701</v>
      </c>
      <c r="E78" s="22" t="n">
        <f aca="false">(( -A78 - (-0.25) ) * COS(RADIANS($F$1)) - (B78 - 0) * SIN(RADIANS($F$1)) + (-0.25)) * $E$1 - ($G$1 * TAN(RADIANS($H$1)))</f>
        <v>-220.58325</v>
      </c>
    </row>
    <row r="79" customFormat="false" ht="18" hidden="false" customHeight="true" outlineLevel="0" collapsed="false">
      <c r="A79" s="19" t="n">
        <v>0.9907</v>
      </c>
      <c r="B79" s="19" t="n">
        <v>0.00319</v>
      </c>
      <c r="C79" s="20" t="n">
        <f aca="false">$G$1</f>
        <v>0</v>
      </c>
      <c r="D79" s="20" t="n">
        <f aca="false">(( -A79 - (-0.25) ) * SIN(RADIANS($F$1)) + (B79 - 0) * COS(RADIANS($F$1)) - 0.25 * SIN(RADIANS($F$1))) * $E$1 + ($G$1 * TAN(RADIANS($I$1)))</f>
        <v>0.71775</v>
      </c>
      <c r="E79" s="20" t="n">
        <f aca="false">(( -A79 - (-0.25) ) * COS(RADIANS($F$1)) - (B79 - 0) * SIN(RADIANS($F$1)) + (-0.25)) * $E$1 - ($G$1 * TAN(RADIANS($H$1)))</f>
        <v>-222.9075</v>
      </c>
    </row>
    <row r="80" customFormat="false" ht="18" hidden="false" customHeight="true" outlineLevel="0" collapsed="false">
      <c r="A80" s="21" t="n">
        <v>0.99754</v>
      </c>
      <c r="B80" s="21" t="n">
        <v>0.00068</v>
      </c>
      <c r="C80" s="22" t="n">
        <f aca="false">$G$1</f>
        <v>0</v>
      </c>
      <c r="D80" s="22" t="n">
        <f aca="false">(( -A80 - (-0.25) ) * SIN(RADIANS($F$1)) + (B80 - 0) * COS(RADIANS($F$1)) - 0.25 * SIN(RADIANS($F$1))) * $E$1 + ($G$1 * TAN(RADIANS($I$1)))</f>
        <v>0.153</v>
      </c>
      <c r="E80" s="22" t="n">
        <f aca="false">(( -A80 - (-0.25) ) * COS(RADIANS($F$1)) - (B80 - 0) * SIN(RADIANS($F$1)) + (-0.25)) * $E$1 - ($G$1 * TAN(RADIANS($H$1)))</f>
        <v>-224.4465</v>
      </c>
    </row>
    <row r="81" customFormat="false" ht="18" hidden="false" customHeight="true" outlineLevel="0" collapsed="false">
      <c r="A81" s="19" t="n">
        <v>1</v>
      </c>
      <c r="B81" s="19" t="n">
        <v>0</v>
      </c>
      <c r="C81" s="20" t="n">
        <f aca="false">$G$1</f>
        <v>0</v>
      </c>
      <c r="D81" s="20" t="n">
        <f aca="false">(( -A81 - (-0.25) ) * SIN(RADIANS($F$1)) + (B81 - 0) * COS(RADIANS($F$1)) - 0.25 * SIN(RADIANS($F$1))) * $E$1 + ($G$1 * TAN(RADIANS($I$1)))</f>
        <v>0</v>
      </c>
      <c r="E81" s="20" t="n">
        <f aca="false">(( -A81 - (-0.25) ) * COS(RADIANS($F$1)) - (B81 - 0) * SIN(RADIANS($F$1)) + (-0.25)) * $E$1 - ($G$1 * TAN(RADIANS($H$1)))</f>
        <v>-225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9"/>
    <col collapsed="false" customWidth="true" hidden="false" outlineLevel="0" max="4" min="4" style="1" width="116"/>
    <col collapsed="false" customWidth="true" hidden="false" outlineLevel="0" max="5" min="5" style="1" width="126"/>
    <col collapsed="false" customWidth="true" hidden="false" outlineLevel="0" max="6" min="6" style="1" width="24"/>
    <col collapsed="false" customWidth="true" hidden="false" outlineLevel="0" max="7" min="7" style="1" width="25"/>
    <col collapsed="false" customWidth="true" hidden="false" outlineLevel="0" max="9" min="8" style="1" width="24"/>
  </cols>
  <sheetData>
    <row r="1" customFormat="false" ht="25.5" hidden="false" customHeight="true" outlineLevel="0" collapsed="false">
      <c r="A1" s="13" t="s">
        <v>100</v>
      </c>
      <c r="B1" s="14" t="s">
        <v>101</v>
      </c>
      <c r="C1" s="15" t="s">
        <v>102</v>
      </c>
      <c r="D1" s="13" t="s">
        <v>113</v>
      </c>
      <c r="E1" s="16" t="n">
        <f aca="false">Control_Panel!$C$7</f>
        <v>225</v>
      </c>
      <c r="F1" s="17" t="n">
        <f aca="false">Control_Panel!$C$23</f>
        <v>0</v>
      </c>
      <c r="G1" s="16" t="n">
        <f aca="false">Control_Panel!$C$15</f>
        <v>518</v>
      </c>
      <c r="H1" s="17" t="n">
        <f aca="false">Control_Panel!$C$10</f>
        <v>11.02</v>
      </c>
      <c r="I1" s="17" t="n">
        <f aca="false">Control_Panel!$C$11</f>
        <v>4</v>
      </c>
    </row>
    <row r="2" customFormat="false" ht="24" hidden="false" customHeight="true" outlineLevel="0" collapsed="false">
      <c r="A2" s="4" t="s">
        <v>104</v>
      </c>
      <c r="B2" s="4" t="s">
        <v>105</v>
      </c>
      <c r="C2" s="4" t="s">
        <v>106</v>
      </c>
      <c r="D2" s="4" t="s">
        <v>107</v>
      </c>
      <c r="E2" s="4" t="s">
        <v>108</v>
      </c>
      <c r="F2" s="18" t="s">
        <v>109</v>
      </c>
      <c r="G2" s="18" t="s">
        <v>110</v>
      </c>
      <c r="H2" s="18" t="s">
        <v>111</v>
      </c>
      <c r="I2" s="18" t="s">
        <v>112</v>
      </c>
    </row>
    <row r="3" customFormat="false" ht="18" hidden="false" customHeight="true" outlineLevel="0" collapsed="false">
      <c r="A3" s="19" t="n">
        <v>1</v>
      </c>
      <c r="B3" s="19" t="n">
        <v>0</v>
      </c>
      <c r="C3" s="20" t="n">
        <f aca="false">$G$1</f>
        <v>518</v>
      </c>
      <c r="D3" s="20" t="n">
        <f aca="false">(( -A3 - (-0.25) ) * SIN(RADIANS($F$1)) + (B3 - 0) * COS(RADIANS($F$1)) - 0.25 * SIN(RADIANS($F$1))) * $E$1 + ($G$1 * TAN(RADIANS($I$1)))</f>
        <v>36.2220885867384</v>
      </c>
      <c r="E3" s="20" t="n">
        <f aca="false">(( -A3 - (-0.25) ) * COS(RADIANS($F$1)) - (B3 - 0) * SIN(RADIANS($F$1)) + (-0.25)) * $E$1 - ($G$1 * TAN(RADIANS($H$1)))</f>
        <v>-325.876660887038</v>
      </c>
    </row>
    <row r="4" customFormat="false" ht="18" hidden="false" customHeight="true" outlineLevel="0" collapsed="false">
      <c r="A4" s="21" t="n">
        <v>0.99754</v>
      </c>
      <c r="B4" s="21" t="n">
        <v>0.00189</v>
      </c>
      <c r="C4" s="22" t="n">
        <f aca="false">$G$1</f>
        <v>518</v>
      </c>
      <c r="D4" s="22" t="n">
        <f aca="false">(( -A4 - (-0.25) ) * SIN(RADIANS($F$1)) + (B4 - 0) * COS(RADIANS($F$1)) - 0.25 * SIN(RADIANS($F$1))) * $E$1 + ($G$1 * TAN(RADIANS($I$1)))</f>
        <v>36.6473385867384</v>
      </c>
      <c r="E4" s="22" t="n">
        <f aca="false">(( -A4 - (-0.25) ) * COS(RADIANS($F$1)) - (B4 - 0) * SIN(RADIANS($F$1)) + (-0.25)) * $E$1 - ($G$1 * TAN(RADIANS($H$1)))</f>
        <v>-325.323160887038</v>
      </c>
    </row>
    <row r="5" customFormat="false" ht="18" hidden="false" customHeight="true" outlineLevel="0" collapsed="false">
      <c r="A5" s="19" t="n">
        <v>0.9907</v>
      </c>
      <c r="B5" s="19" t="n">
        <v>0.00624</v>
      </c>
      <c r="C5" s="20" t="n">
        <f aca="false">$G$1</f>
        <v>518</v>
      </c>
      <c r="D5" s="20" t="n">
        <f aca="false">(( -A5 - (-0.25) ) * SIN(RADIANS($F$1)) + (B5 - 0) * COS(RADIANS($F$1)) - 0.25 * SIN(RADIANS($F$1))) * $E$1 + ($G$1 * TAN(RADIANS($I$1)))</f>
        <v>37.6260885867384</v>
      </c>
      <c r="E5" s="20" t="n">
        <f aca="false">(( -A5 - (-0.25) ) * COS(RADIANS($F$1)) - (B5 - 0) * SIN(RADIANS($F$1)) + (-0.25)) * $E$1 - ($G$1 * TAN(RADIANS($H$1)))</f>
        <v>-323.784160887038</v>
      </c>
    </row>
    <row r="6" customFormat="false" ht="18" hidden="false" customHeight="true" outlineLevel="0" collapsed="false">
      <c r="A6" s="21" t="n">
        <v>0.98037</v>
      </c>
      <c r="B6" s="21" t="n">
        <v>0.0115</v>
      </c>
      <c r="C6" s="22" t="n">
        <f aca="false">$G$1</f>
        <v>518</v>
      </c>
      <c r="D6" s="22" t="n">
        <f aca="false">(( -A6 - (-0.25) ) * SIN(RADIANS($F$1)) + (B6 - 0) * COS(RADIANS($F$1)) - 0.25 * SIN(RADIANS($F$1))) * $E$1 + ($G$1 * TAN(RADIANS($I$1)))</f>
        <v>38.8095885867384</v>
      </c>
      <c r="E6" s="22" t="n">
        <f aca="false">(( -A6 - (-0.25) ) * COS(RADIANS($F$1)) - (B6 - 0) * SIN(RADIANS($F$1)) + (-0.25)) * $E$1 - ($G$1 * TAN(RADIANS($H$1)))</f>
        <v>-321.459910887038</v>
      </c>
    </row>
    <row r="7" customFormat="false" ht="18" hidden="false" customHeight="true" outlineLevel="0" collapsed="false">
      <c r="A7" s="19" t="n">
        <v>0.96698</v>
      </c>
      <c r="B7" s="19" t="n">
        <v>0.01741</v>
      </c>
      <c r="C7" s="20" t="n">
        <f aca="false">$G$1</f>
        <v>518</v>
      </c>
      <c r="D7" s="20" t="n">
        <f aca="false">(( -A7 - (-0.25) ) * SIN(RADIANS($F$1)) + (B7 - 0) * COS(RADIANS($F$1)) - 0.25 * SIN(RADIANS($F$1))) * $E$1 + ($G$1 * TAN(RADIANS($I$1)))</f>
        <v>40.1393385867384</v>
      </c>
      <c r="E7" s="20" t="n">
        <f aca="false">(( -A7 - (-0.25) ) * COS(RADIANS($F$1)) - (B7 - 0) * SIN(RADIANS($F$1)) + (-0.25)) * $E$1 - ($G$1 * TAN(RADIANS($H$1)))</f>
        <v>-318.447160887038</v>
      </c>
    </row>
    <row r="8" customFormat="false" ht="18" hidden="false" customHeight="true" outlineLevel="0" collapsed="false">
      <c r="A8" s="21" t="n">
        <v>0.95044</v>
      </c>
      <c r="B8" s="21" t="n">
        <v>0.02402</v>
      </c>
      <c r="C8" s="22" t="n">
        <f aca="false">$G$1</f>
        <v>518</v>
      </c>
      <c r="D8" s="22" t="n">
        <f aca="false">(( -A8 - (-0.25) ) * SIN(RADIANS($F$1)) + (B8 - 0) * COS(RADIANS($F$1)) - 0.25 * SIN(RADIANS($F$1))) * $E$1 + ($G$1 * TAN(RADIANS($I$1)))</f>
        <v>41.6265885867384</v>
      </c>
      <c r="E8" s="22" t="n">
        <f aca="false">(( -A8 - (-0.25) ) * COS(RADIANS($F$1)) - (B8 - 0) * SIN(RADIANS($F$1)) + (-0.25)) * $E$1 - ($G$1 * TAN(RADIANS($H$1)))</f>
        <v>-314.725660887038</v>
      </c>
    </row>
    <row r="9" customFormat="false" ht="18" hidden="false" customHeight="true" outlineLevel="0" collapsed="false">
      <c r="A9" s="19" t="n">
        <v>0.93064</v>
      </c>
      <c r="B9" s="19" t="n">
        <v>0.03188</v>
      </c>
      <c r="C9" s="20" t="n">
        <f aca="false">$G$1</f>
        <v>518</v>
      </c>
      <c r="D9" s="20" t="n">
        <f aca="false">(( -A9 - (-0.25) ) * SIN(RADIANS($F$1)) + (B9 - 0) * COS(RADIANS($F$1)) - 0.25 * SIN(RADIANS($F$1))) * $E$1 + ($G$1 * TAN(RADIANS($I$1)))</f>
        <v>43.3950885867384</v>
      </c>
      <c r="E9" s="20" t="n">
        <f aca="false">(( -A9 - (-0.25) ) * COS(RADIANS($F$1)) - (B9 - 0) * SIN(RADIANS($F$1)) + (-0.25)) * $E$1 - ($G$1 * TAN(RADIANS($H$1)))</f>
        <v>-310.270660887038</v>
      </c>
    </row>
    <row r="10" customFormat="false" ht="18" hidden="false" customHeight="true" outlineLevel="0" collapsed="false">
      <c r="A10" s="21" t="n">
        <v>0.90775</v>
      </c>
      <c r="B10" s="21" t="n">
        <v>0.04001</v>
      </c>
      <c r="C10" s="22" t="n">
        <f aca="false">$G$1</f>
        <v>518</v>
      </c>
      <c r="D10" s="22" t="n">
        <f aca="false">(( -A10 - (-0.25) ) * SIN(RADIANS($F$1)) + (B10 - 0) * COS(RADIANS($F$1)) - 0.25 * SIN(RADIANS($F$1))) * $E$1 + ($G$1 * TAN(RADIANS($I$1)))</f>
        <v>45.2243385867384</v>
      </c>
      <c r="E10" s="22" t="n">
        <f aca="false">(( -A10 - (-0.25) ) * COS(RADIANS($F$1)) - (B10 - 0) * SIN(RADIANS($F$1)) + (-0.25)) * $E$1 - ($G$1 * TAN(RADIANS($H$1)))</f>
        <v>-305.120410887038</v>
      </c>
    </row>
    <row r="11" customFormat="false" ht="18" hidden="false" customHeight="true" outlineLevel="0" collapsed="false">
      <c r="A11" s="19" t="n">
        <v>0.88202</v>
      </c>
      <c r="B11" s="19" t="n">
        <v>0.04848</v>
      </c>
      <c r="C11" s="20" t="n">
        <f aca="false">$G$1</f>
        <v>518</v>
      </c>
      <c r="D11" s="20" t="n">
        <f aca="false">(( -A11 - (-0.25) ) * SIN(RADIANS($F$1)) + (B11 - 0) * COS(RADIANS($F$1)) - 0.25 * SIN(RADIANS($F$1))) * $E$1 + ($G$1 * TAN(RADIANS($I$1)))</f>
        <v>47.1300885867384</v>
      </c>
      <c r="E11" s="20" t="n">
        <f aca="false">(( -A11 - (-0.25) ) * COS(RADIANS($F$1)) - (B11 - 0) * SIN(RADIANS($F$1)) + (-0.25)) * $E$1 - ($G$1 * TAN(RADIANS($H$1)))</f>
        <v>-299.331160887038</v>
      </c>
    </row>
    <row r="12" customFormat="false" ht="18" hidden="false" customHeight="true" outlineLevel="0" collapsed="false">
      <c r="A12" s="21" t="n">
        <v>0.8537</v>
      </c>
      <c r="B12" s="21" t="n">
        <v>0.05718</v>
      </c>
      <c r="C12" s="22" t="n">
        <f aca="false">$G$1</f>
        <v>518</v>
      </c>
      <c r="D12" s="22" t="n">
        <f aca="false">(( -A12 - (-0.25) ) * SIN(RADIANS($F$1)) + (B12 - 0) * COS(RADIANS($F$1)) - 0.25 * SIN(RADIANS($F$1))) * $E$1 + ($G$1 * TAN(RADIANS($I$1)))</f>
        <v>49.0875885867384</v>
      </c>
      <c r="E12" s="22" t="n">
        <f aca="false">(( -A12 - (-0.25) ) * COS(RADIANS($F$1)) - (B12 - 0) * SIN(RADIANS($F$1)) + (-0.25)) * $E$1 - ($G$1 * TAN(RADIANS($H$1)))</f>
        <v>-292.959160887038</v>
      </c>
    </row>
    <row r="13" customFormat="false" ht="18" hidden="false" customHeight="true" outlineLevel="0" collapsed="false">
      <c r="A13" s="19" t="n">
        <v>0.82309</v>
      </c>
      <c r="B13" s="19" t="n">
        <v>0.06616</v>
      </c>
      <c r="C13" s="20" t="n">
        <f aca="false">$G$1</f>
        <v>518</v>
      </c>
      <c r="D13" s="20" t="n">
        <f aca="false">(( -A13 - (-0.25) ) * SIN(RADIANS($F$1)) + (B13 - 0) * COS(RADIANS($F$1)) - 0.25 * SIN(RADIANS($F$1))) * $E$1 + ($G$1 * TAN(RADIANS($I$1)))</f>
        <v>51.1080885867384</v>
      </c>
      <c r="E13" s="20" t="n">
        <f aca="false">(( -A13 - (-0.25) ) * COS(RADIANS($F$1)) - (B13 - 0) * SIN(RADIANS($F$1)) + (-0.25)) * $E$1 - ($G$1 * TAN(RADIANS($H$1)))</f>
        <v>-286.071910887038</v>
      </c>
    </row>
    <row r="14" customFormat="false" ht="18" hidden="false" customHeight="true" outlineLevel="0" collapsed="false">
      <c r="A14" s="21" t="n">
        <v>0.79048</v>
      </c>
      <c r="B14" s="21" t="n">
        <v>0.07549</v>
      </c>
      <c r="C14" s="22" t="n">
        <f aca="false">$G$1</f>
        <v>518</v>
      </c>
      <c r="D14" s="22" t="n">
        <f aca="false">(( -A14 - (-0.25) ) * SIN(RADIANS($F$1)) + (B14 - 0) * COS(RADIANS($F$1)) - 0.25 * SIN(RADIANS($F$1))) * $E$1 + ($G$1 * TAN(RADIANS($I$1)))</f>
        <v>53.2073385867384</v>
      </c>
      <c r="E14" s="22" t="n">
        <f aca="false">(( -A14 - (-0.25) ) * COS(RADIANS($F$1)) - (B14 - 0) * SIN(RADIANS($F$1)) + (-0.25)) * $E$1 - ($G$1 * TAN(RADIANS($H$1)))</f>
        <v>-278.734660887038</v>
      </c>
    </row>
    <row r="15" customFormat="false" ht="18" hidden="false" customHeight="true" outlineLevel="0" collapsed="false">
      <c r="A15" s="19" t="n">
        <v>0.75616</v>
      </c>
      <c r="B15" s="19" t="n">
        <v>0.0851</v>
      </c>
      <c r="C15" s="20" t="n">
        <f aca="false">$G$1</f>
        <v>518</v>
      </c>
      <c r="D15" s="20" t="n">
        <f aca="false">(( -A15 - (-0.25) ) * SIN(RADIANS($F$1)) + (B15 - 0) * COS(RADIANS($F$1)) - 0.25 * SIN(RADIANS($F$1))) * $E$1 + ($G$1 * TAN(RADIANS($I$1)))</f>
        <v>55.3695885867384</v>
      </c>
      <c r="E15" s="20" t="n">
        <f aca="false">(( -A15 - (-0.25) ) * COS(RADIANS($F$1)) - (B15 - 0) * SIN(RADIANS($F$1)) + (-0.25)) * $E$1 - ($G$1 * TAN(RADIANS($H$1)))</f>
        <v>-271.012660887038</v>
      </c>
    </row>
    <row r="16" customFormat="false" ht="18" hidden="false" customHeight="true" outlineLevel="0" collapsed="false">
      <c r="A16" s="21" t="n">
        <v>0.72043</v>
      </c>
      <c r="B16" s="21" t="n">
        <v>0.09482</v>
      </c>
      <c r="C16" s="22" t="n">
        <f aca="false">$G$1</f>
        <v>518</v>
      </c>
      <c r="D16" s="22" t="n">
        <f aca="false">(( -A16 - (-0.25) ) * SIN(RADIANS($F$1)) + (B16 - 0) * COS(RADIANS($F$1)) - 0.25 * SIN(RADIANS($F$1))) * $E$1 + ($G$1 * TAN(RADIANS($I$1)))</f>
        <v>57.5565885867384</v>
      </c>
      <c r="E16" s="22" t="n">
        <f aca="false">(( -A16 - (-0.25) ) * COS(RADIANS($F$1)) - (B16 - 0) * SIN(RADIANS($F$1)) + (-0.25)) * $E$1 - ($G$1 * TAN(RADIANS($H$1)))</f>
        <v>-262.973410887038</v>
      </c>
    </row>
    <row r="17" customFormat="false" ht="18" hidden="false" customHeight="true" outlineLevel="0" collapsed="false">
      <c r="A17" s="19" t="n">
        <v>0.68359</v>
      </c>
      <c r="B17" s="19" t="n">
        <v>0.10446</v>
      </c>
      <c r="C17" s="20" t="n">
        <f aca="false">$G$1</f>
        <v>518</v>
      </c>
      <c r="D17" s="20" t="n">
        <f aca="false">(( -A17 - (-0.25) ) * SIN(RADIANS($F$1)) + (B17 - 0) * COS(RADIANS($F$1)) - 0.25 * SIN(RADIANS($F$1))) * $E$1 + ($G$1 * TAN(RADIANS($I$1)))</f>
        <v>59.7255885867384</v>
      </c>
      <c r="E17" s="20" t="n">
        <f aca="false">(( -A17 - (-0.25) ) * COS(RADIANS($F$1)) - (B17 - 0) * SIN(RADIANS($F$1)) + (-0.25)) * $E$1 - ($G$1 * TAN(RADIANS($H$1)))</f>
        <v>-254.684410887038</v>
      </c>
    </row>
    <row r="18" customFormat="false" ht="18" hidden="false" customHeight="true" outlineLevel="0" collapsed="false">
      <c r="A18" s="21" t="n">
        <v>0.64594</v>
      </c>
      <c r="B18" s="21" t="n">
        <v>0.11385</v>
      </c>
      <c r="C18" s="22" t="n">
        <f aca="false">$G$1</f>
        <v>518</v>
      </c>
      <c r="D18" s="22" t="n">
        <f aca="false">(( -A18 - (-0.25) ) * SIN(RADIANS($F$1)) + (B18 - 0) * COS(RADIANS($F$1)) - 0.25 * SIN(RADIANS($F$1))) * $E$1 + ($G$1 * TAN(RADIANS($I$1)))</f>
        <v>61.8383385867384</v>
      </c>
      <c r="E18" s="22" t="n">
        <f aca="false">(( -A18 - (-0.25) ) * COS(RADIANS($F$1)) - (B18 - 0) * SIN(RADIANS($F$1)) + (-0.25)) * $E$1 - ($G$1 * TAN(RADIANS($H$1)))</f>
        <v>-246.213160887038</v>
      </c>
    </row>
    <row r="19" customFormat="false" ht="18" hidden="false" customHeight="true" outlineLevel="0" collapsed="false">
      <c r="A19" s="19" t="n">
        <v>0.60778</v>
      </c>
      <c r="B19" s="19" t="n">
        <v>0.12287</v>
      </c>
      <c r="C19" s="20" t="n">
        <f aca="false">$G$1</f>
        <v>518</v>
      </c>
      <c r="D19" s="20" t="n">
        <f aca="false">(( -A19 - (-0.25) ) * SIN(RADIANS($F$1)) + (B19 - 0) * COS(RADIANS($F$1)) - 0.25 * SIN(RADIANS($F$1))) * $E$1 + ($G$1 * TAN(RADIANS($I$1)))</f>
        <v>63.8678385867384</v>
      </c>
      <c r="E19" s="20" t="n">
        <f aca="false">(( -A19 - (-0.25) ) * COS(RADIANS($F$1)) - (B19 - 0) * SIN(RADIANS($F$1)) + (-0.25)) * $E$1 - ($G$1 * TAN(RADIANS($H$1)))</f>
        <v>-237.627160887038</v>
      </c>
    </row>
    <row r="20" customFormat="false" ht="18" hidden="false" customHeight="true" outlineLevel="0" collapsed="false">
      <c r="A20" s="21" t="n">
        <v>0.56937</v>
      </c>
      <c r="B20" s="21" t="n">
        <v>0.13137</v>
      </c>
      <c r="C20" s="22" t="n">
        <f aca="false">$G$1</f>
        <v>518</v>
      </c>
      <c r="D20" s="22" t="n">
        <f aca="false">(( -A20 - (-0.25) ) * SIN(RADIANS($F$1)) + (B20 - 0) * COS(RADIANS($F$1)) - 0.25 * SIN(RADIANS($F$1))) * $E$1 + ($G$1 * TAN(RADIANS($I$1)))</f>
        <v>65.7803385867384</v>
      </c>
      <c r="E20" s="22" t="n">
        <f aca="false">(( -A20 - (-0.25) ) * COS(RADIANS($F$1)) - (B20 - 0) * SIN(RADIANS($F$1)) + (-0.25)) * $E$1 - ($G$1 * TAN(RADIANS($H$1)))</f>
        <v>-228.984910887038</v>
      </c>
    </row>
    <row r="21" customFormat="false" ht="18" hidden="false" customHeight="true" outlineLevel="0" collapsed="false">
      <c r="A21" s="19" t="n">
        <v>0.53099</v>
      </c>
      <c r="B21" s="19" t="n">
        <v>0.13916</v>
      </c>
      <c r="C21" s="20" t="n">
        <f aca="false">$G$1</f>
        <v>518</v>
      </c>
      <c r="D21" s="20" t="n">
        <f aca="false">(( -A21 - (-0.25) ) * SIN(RADIANS($F$1)) + (B21 - 0) * COS(RADIANS($F$1)) - 0.25 * SIN(RADIANS($F$1))) * $E$1 + ($G$1 * TAN(RADIANS($I$1)))</f>
        <v>67.5330885867384</v>
      </c>
      <c r="E21" s="20" t="n">
        <f aca="false">(( -A21 - (-0.25) ) * COS(RADIANS($F$1)) - (B21 - 0) * SIN(RADIANS($F$1)) + (-0.25)) * $E$1 - ($G$1 * TAN(RADIANS($H$1)))</f>
        <v>-220.349410887038</v>
      </c>
    </row>
    <row r="22" customFormat="false" ht="18" hidden="false" customHeight="true" outlineLevel="0" collapsed="false">
      <c r="A22" s="21" t="n">
        <v>0.49265</v>
      </c>
      <c r="B22" s="21" t="n">
        <v>0.14604</v>
      </c>
      <c r="C22" s="22" t="n">
        <f aca="false">$G$1</f>
        <v>518</v>
      </c>
      <c r="D22" s="22" t="n">
        <f aca="false">(( -A22 - (-0.25) ) * SIN(RADIANS($F$1)) + (B22 - 0) * COS(RADIANS($F$1)) - 0.25 * SIN(RADIANS($F$1))) * $E$1 + ($G$1 * TAN(RADIANS($I$1)))</f>
        <v>69.0810885867384</v>
      </c>
      <c r="E22" s="22" t="n">
        <f aca="false">(( -A22 - (-0.25) ) * COS(RADIANS($F$1)) - (B22 - 0) * SIN(RADIANS($F$1)) + (-0.25)) * $E$1 - ($G$1 * TAN(RADIANS($H$1)))</f>
        <v>-211.722910887038</v>
      </c>
    </row>
    <row r="23" customFormat="false" ht="18" hidden="false" customHeight="true" outlineLevel="0" collapsed="false">
      <c r="A23" s="19" t="n">
        <v>0.45435</v>
      </c>
      <c r="B23" s="19" t="n">
        <v>0.15177</v>
      </c>
      <c r="C23" s="20" t="n">
        <f aca="false">$G$1</f>
        <v>518</v>
      </c>
      <c r="D23" s="20" t="n">
        <f aca="false">(( -A23 - (-0.25) ) * SIN(RADIANS($F$1)) + (B23 - 0) * COS(RADIANS($F$1)) - 0.25 * SIN(RADIANS($F$1))) * $E$1 + ($G$1 * TAN(RADIANS($I$1)))</f>
        <v>70.3703385867384</v>
      </c>
      <c r="E23" s="20" t="n">
        <f aca="false">(( -A23 - (-0.25) ) * COS(RADIANS($F$1)) - (B23 - 0) * SIN(RADIANS($F$1)) + (-0.25)) * $E$1 - ($G$1 * TAN(RADIANS($H$1)))</f>
        <v>-203.105410887038</v>
      </c>
    </row>
    <row r="24" customFormat="false" ht="18" hidden="false" customHeight="true" outlineLevel="0" collapsed="false">
      <c r="A24" s="21" t="n">
        <v>0.41638</v>
      </c>
      <c r="B24" s="21" t="n">
        <v>0.15606</v>
      </c>
      <c r="C24" s="22" t="n">
        <f aca="false">$G$1</f>
        <v>518</v>
      </c>
      <c r="D24" s="22" t="n">
        <f aca="false">(( -A24 - (-0.25) ) * SIN(RADIANS($F$1)) + (B24 - 0) * COS(RADIANS($F$1)) - 0.25 * SIN(RADIANS($F$1))) * $E$1 + ($G$1 * TAN(RADIANS($I$1)))</f>
        <v>71.3355885867384</v>
      </c>
      <c r="E24" s="22" t="n">
        <f aca="false">(( -A24 - (-0.25) ) * COS(RADIANS($F$1)) - (B24 - 0) * SIN(RADIANS($F$1)) + (-0.25)) * $E$1 - ($G$1 * TAN(RADIANS($H$1)))</f>
        <v>-194.562160887038</v>
      </c>
    </row>
    <row r="25" customFormat="false" ht="18" hidden="false" customHeight="true" outlineLevel="0" collapsed="false">
      <c r="A25" s="19" t="n">
        <v>0.37887</v>
      </c>
      <c r="B25" s="19" t="n">
        <v>0.15868</v>
      </c>
      <c r="C25" s="20" t="n">
        <f aca="false">$G$1</f>
        <v>518</v>
      </c>
      <c r="D25" s="20" t="n">
        <f aca="false">(( -A25 - (-0.25) ) * SIN(RADIANS($F$1)) + (B25 - 0) * COS(RADIANS($F$1)) - 0.25 * SIN(RADIANS($F$1))) * $E$1 + ($G$1 * TAN(RADIANS($I$1)))</f>
        <v>71.9250885867384</v>
      </c>
      <c r="E25" s="20" t="n">
        <f aca="false">(( -A25 - (-0.25) ) * COS(RADIANS($F$1)) - (B25 - 0) * SIN(RADIANS($F$1)) + (-0.25)) * $E$1 - ($G$1 * TAN(RADIANS($H$1)))</f>
        <v>-186.122410887038</v>
      </c>
    </row>
    <row r="26" customFormat="false" ht="18" hidden="false" customHeight="true" outlineLevel="0" collapsed="false">
      <c r="A26" s="21" t="n">
        <v>0.34204</v>
      </c>
      <c r="B26" s="21" t="n">
        <v>0.15944</v>
      </c>
      <c r="C26" s="22" t="n">
        <f aca="false">$G$1</f>
        <v>518</v>
      </c>
      <c r="D26" s="22" t="n">
        <f aca="false">(( -A26 - (-0.25) ) * SIN(RADIANS($F$1)) + (B26 - 0) * COS(RADIANS($F$1)) - 0.25 * SIN(RADIANS($F$1))) * $E$1 + ($G$1 * TAN(RADIANS($I$1)))</f>
        <v>72.0960885867384</v>
      </c>
      <c r="E26" s="22" t="n">
        <f aca="false">(( -A26 - (-0.25) ) * COS(RADIANS($F$1)) - (B26 - 0) * SIN(RADIANS($F$1)) + (-0.25)) * $E$1 - ($G$1 * TAN(RADIANS($H$1)))</f>
        <v>-177.835660887038</v>
      </c>
    </row>
    <row r="27" customFormat="false" ht="18" hidden="false" customHeight="true" outlineLevel="0" collapsed="false">
      <c r="A27" s="19" t="n">
        <v>0.30609</v>
      </c>
      <c r="B27" s="19" t="n">
        <v>0.1582</v>
      </c>
      <c r="C27" s="20" t="n">
        <f aca="false">$G$1</f>
        <v>518</v>
      </c>
      <c r="D27" s="20" t="n">
        <f aca="false">(( -A27 - (-0.25) ) * SIN(RADIANS($F$1)) + (B27 - 0) * COS(RADIANS($F$1)) - 0.25 * SIN(RADIANS($F$1))) * $E$1 + ($G$1 * TAN(RADIANS($I$1)))</f>
        <v>71.8170885867384</v>
      </c>
      <c r="E27" s="20" t="n">
        <f aca="false">(( -A27 - (-0.25) ) * COS(RADIANS($F$1)) - (B27 - 0) * SIN(RADIANS($F$1)) + (-0.25)) * $E$1 - ($G$1 * TAN(RADIANS($H$1)))</f>
        <v>-169.746910887038</v>
      </c>
    </row>
    <row r="28" customFormat="false" ht="18" hidden="false" customHeight="true" outlineLevel="0" collapsed="false">
      <c r="A28" s="21" t="n">
        <v>0.2712</v>
      </c>
      <c r="B28" s="21" t="n">
        <v>0.15493</v>
      </c>
      <c r="C28" s="22" t="n">
        <f aca="false">$G$1</f>
        <v>518</v>
      </c>
      <c r="D28" s="22" t="n">
        <f aca="false">(( -A28 - (-0.25) ) * SIN(RADIANS($F$1)) + (B28 - 0) * COS(RADIANS($F$1)) - 0.25 * SIN(RADIANS($F$1))) * $E$1 + ($G$1 * TAN(RADIANS($I$1)))</f>
        <v>71.0813385867384</v>
      </c>
      <c r="E28" s="22" t="n">
        <f aca="false">(( -A28 - (-0.25) ) * COS(RADIANS($F$1)) - (B28 - 0) * SIN(RADIANS($F$1)) + (-0.25)) * $E$1 - ($G$1 * TAN(RADIANS($H$1)))</f>
        <v>-161.896660887038</v>
      </c>
    </row>
    <row r="29" customFormat="false" ht="18" hidden="false" customHeight="true" outlineLevel="0" collapsed="false">
      <c r="A29" s="19" t="n">
        <v>0.2376</v>
      </c>
      <c r="B29" s="19" t="n">
        <v>0.14964</v>
      </c>
      <c r="C29" s="20" t="n">
        <f aca="false">$G$1</f>
        <v>518</v>
      </c>
      <c r="D29" s="20" t="n">
        <f aca="false">(( -A29 - (-0.25) ) * SIN(RADIANS($F$1)) + (B29 - 0) * COS(RADIANS($F$1)) - 0.25 * SIN(RADIANS($F$1))) * $E$1 + ($G$1 * TAN(RADIANS($I$1)))</f>
        <v>69.8910885867384</v>
      </c>
      <c r="E29" s="20" t="n">
        <f aca="false">(( -A29 - (-0.25) ) * COS(RADIANS($F$1)) - (B29 - 0) * SIN(RADIANS($F$1)) + (-0.25)) * $E$1 - ($G$1 * TAN(RADIANS($H$1)))</f>
        <v>-154.336660887038</v>
      </c>
    </row>
    <row r="30" customFormat="false" ht="18" hidden="false" customHeight="true" outlineLevel="0" collapsed="false">
      <c r="A30" s="21" t="n">
        <v>0.20549</v>
      </c>
      <c r="B30" s="21" t="n">
        <v>0.14243</v>
      </c>
      <c r="C30" s="22" t="n">
        <f aca="false">$G$1</f>
        <v>518</v>
      </c>
      <c r="D30" s="22" t="n">
        <f aca="false">(( -A30 - (-0.25) ) * SIN(RADIANS($F$1)) + (B30 - 0) * COS(RADIANS($F$1)) - 0.25 * SIN(RADIANS($F$1))) * $E$1 + ($G$1 * TAN(RADIANS($I$1)))</f>
        <v>68.2688385867384</v>
      </c>
      <c r="E30" s="22" t="n">
        <f aca="false">(( -A30 - (-0.25) ) * COS(RADIANS($F$1)) - (B30 - 0) * SIN(RADIANS($F$1)) + (-0.25)) * $E$1 - ($G$1 * TAN(RADIANS($H$1)))</f>
        <v>-147.111910887038</v>
      </c>
    </row>
    <row r="31" customFormat="false" ht="18" hidden="false" customHeight="true" outlineLevel="0" collapsed="false">
      <c r="A31" s="19" t="n">
        <v>0.17504</v>
      </c>
      <c r="B31" s="19" t="n">
        <v>0.13344</v>
      </c>
      <c r="C31" s="20" t="n">
        <f aca="false">$G$1</f>
        <v>518</v>
      </c>
      <c r="D31" s="20" t="n">
        <f aca="false">(( -A31 - (-0.25) ) * SIN(RADIANS($F$1)) + (B31 - 0) * COS(RADIANS($F$1)) - 0.25 * SIN(RADIANS($F$1))) * $E$1 + ($G$1 * TAN(RADIANS($I$1)))</f>
        <v>66.2460885867384</v>
      </c>
      <c r="E31" s="20" t="n">
        <f aca="false">(( -A31 - (-0.25) ) * COS(RADIANS($F$1)) - (B31 - 0) * SIN(RADIANS($F$1)) + (-0.25)) * $E$1 - ($G$1 * TAN(RADIANS($H$1)))</f>
        <v>-140.260660887038</v>
      </c>
    </row>
    <row r="32" customFormat="false" ht="18" hidden="false" customHeight="true" outlineLevel="0" collapsed="false">
      <c r="A32" s="21" t="n">
        <v>0.14648</v>
      </c>
      <c r="B32" s="21" t="n">
        <v>0.12292</v>
      </c>
      <c r="C32" s="22" t="n">
        <f aca="false">$G$1</f>
        <v>518</v>
      </c>
      <c r="D32" s="22" t="n">
        <f aca="false">(( -A32 - (-0.25) ) * SIN(RADIANS($F$1)) + (B32 - 0) * COS(RADIANS($F$1)) - 0.25 * SIN(RADIANS($F$1))) * $E$1 + ($G$1 * TAN(RADIANS($I$1)))</f>
        <v>63.8790885867384</v>
      </c>
      <c r="E32" s="22" t="n">
        <f aca="false">(( -A32 - (-0.25) ) * COS(RADIANS($F$1)) - (B32 - 0) * SIN(RADIANS($F$1)) + (-0.25)) * $E$1 - ($G$1 * TAN(RADIANS($H$1)))</f>
        <v>-133.834660887038</v>
      </c>
    </row>
    <row r="33" customFormat="false" ht="18" hidden="false" customHeight="true" outlineLevel="0" collapsed="false">
      <c r="A33" s="19" t="n">
        <v>0.11999</v>
      </c>
      <c r="B33" s="19" t="n">
        <v>0.1111</v>
      </c>
      <c r="C33" s="20" t="n">
        <f aca="false">$G$1</f>
        <v>518</v>
      </c>
      <c r="D33" s="20" t="n">
        <f aca="false">(( -A33 - (-0.25) ) * SIN(RADIANS($F$1)) + (B33 - 0) * COS(RADIANS($F$1)) - 0.25 * SIN(RADIANS($F$1))) * $E$1 + ($G$1 * TAN(RADIANS($I$1)))</f>
        <v>61.2195885867384</v>
      </c>
      <c r="E33" s="20" t="n">
        <f aca="false">(( -A33 - (-0.25) ) * COS(RADIANS($F$1)) - (B33 - 0) * SIN(RADIANS($F$1)) + (-0.25)) * $E$1 - ($G$1 * TAN(RADIANS($H$1)))</f>
        <v>-127.874410887038</v>
      </c>
    </row>
    <row r="34" customFormat="false" ht="18" hidden="false" customHeight="true" outlineLevel="0" collapsed="false">
      <c r="A34" s="21" t="n">
        <v>0.09576</v>
      </c>
      <c r="B34" s="21" t="n">
        <v>0.09826</v>
      </c>
      <c r="C34" s="22" t="n">
        <f aca="false">$G$1</f>
        <v>518</v>
      </c>
      <c r="D34" s="22" t="n">
        <f aca="false">(( -A34 - (-0.25) ) * SIN(RADIANS($F$1)) + (B34 - 0) * COS(RADIANS($F$1)) - 0.25 * SIN(RADIANS($F$1))) * $E$1 + ($G$1 * TAN(RADIANS($I$1)))</f>
        <v>58.3305885867384</v>
      </c>
      <c r="E34" s="22" t="n">
        <f aca="false">(( -A34 - (-0.25) ) * COS(RADIANS($F$1)) - (B34 - 0) * SIN(RADIANS($F$1)) + (-0.25)) * $E$1 - ($G$1 * TAN(RADIANS($H$1)))</f>
        <v>-122.422660887038</v>
      </c>
    </row>
    <row r="35" customFormat="false" ht="18" hidden="false" customHeight="true" outlineLevel="0" collapsed="false">
      <c r="A35" s="19" t="n">
        <v>0.07395</v>
      </c>
      <c r="B35" s="19" t="n">
        <v>0.08459</v>
      </c>
      <c r="C35" s="20" t="n">
        <f aca="false">$G$1</f>
        <v>518</v>
      </c>
      <c r="D35" s="20" t="n">
        <f aca="false">(( -A35 - (-0.25) ) * SIN(RADIANS($F$1)) + (B35 - 0) * COS(RADIANS($F$1)) - 0.25 * SIN(RADIANS($F$1))) * $E$1 + ($G$1 * TAN(RADIANS($I$1)))</f>
        <v>55.2548385867384</v>
      </c>
      <c r="E35" s="20" t="n">
        <f aca="false">(( -A35 - (-0.25) ) * COS(RADIANS($F$1)) - (B35 - 0) * SIN(RADIANS($F$1)) + (-0.25)) * $E$1 - ($G$1 * TAN(RADIANS($H$1)))</f>
        <v>-117.515410887038</v>
      </c>
    </row>
    <row r="36" customFormat="false" ht="18" hidden="false" customHeight="true" outlineLevel="0" collapsed="false">
      <c r="A36" s="21" t="n">
        <v>0.05468</v>
      </c>
      <c r="B36" s="21" t="n">
        <v>0.0703</v>
      </c>
      <c r="C36" s="22" t="n">
        <f aca="false">$G$1</f>
        <v>518</v>
      </c>
      <c r="D36" s="22" t="n">
        <f aca="false">(( -A36 - (-0.25) ) * SIN(RADIANS($F$1)) + (B36 - 0) * COS(RADIANS($F$1)) - 0.25 * SIN(RADIANS($F$1))) * $E$1 + ($G$1 * TAN(RADIANS($I$1)))</f>
        <v>52.0395885867384</v>
      </c>
      <c r="E36" s="22" t="n">
        <f aca="false">(( -A36 - (-0.25) ) * COS(RADIANS($F$1)) - (B36 - 0) * SIN(RADIANS($F$1)) + (-0.25)) * $E$1 - ($G$1 * TAN(RADIANS($H$1)))</f>
        <v>-113.179660887038</v>
      </c>
    </row>
    <row r="37" customFormat="false" ht="18" hidden="false" customHeight="true" outlineLevel="0" collapsed="false">
      <c r="A37" s="19" t="n">
        <v>0.03811</v>
      </c>
      <c r="B37" s="19" t="n">
        <v>0.05576</v>
      </c>
      <c r="C37" s="20" t="n">
        <f aca="false">$G$1</f>
        <v>518</v>
      </c>
      <c r="D37" s="20" t="n">
        <f aca="false">(( -A37 - (-0.25) ) * SIN(RADIANS($F$1)) + (B37 - 0) * COS(RADIANS($F$1)) - 0.25 * SIN(RADIANS($F$1))) * $E$1 + ($G$1 * TAN(RADIANS($I$1)))</f>
        <v>48.7680885867384</v>
      </c>
      <c r="E37" s="20" t="n">
        <f aca="false">(( -A37 - (-0.25) ) * COS(RADIANS($F$1)) - (B37 - 0) * SIN(RADIANS($F$1)) + (-0.25)) * $E$1 - ($G$1 * TAN(RADIANS($H$1)))</f>
        <v>-109.451410887038</v>
      </c>
    </row>
    <row r="38" customFormat="false" ht="18" hidden="false" customHeight="true" outlineLevel="0" collapsed="false">
      <c r="A38" s="21" t="n">
        <v>0.02433</v>
      </c>
      <c r="B38" s="21" t="n">
        <v>0.04145</v>
      </c>
      <c r="C38" s="22" t="n">
        <f aca="false">$G$1</f>
        <v>518</v>
      </c>
      <c r="D38" s="22" t="n">
        <f aca="false">(( -A38 - (-0.25) ) * SIN(RADIANS($F$1)) + (B38 - 0) * COS(RADIANS($F$1)) - 0.25 * SIN(RADIANS($F$1))) * $E$1 + ($G$1 * TAN(RADIANS($I$1)))</f>
        <v>45.5483385867384</v>
      </c>
      <c r="E38" s="22" t="n">
        <f aca="false">(( -A38 - (-0.25) ) * COS(RADIANS($F$1)) - (B38 - 0) * SIN(RADIANS($F$1)) + (-0.25)) * $E$1 - ($G$1 * TAN(RADIANS($H$1)))</f>
        <v>-106.350910887038</v>
      </c>
    </row>
    <row r="39" customFormat="false" ht="18" hidden="false" customHeight="true" outlineLevel="0" collapsed="false">
      <c r="A39" s="19" t="n">
        <v>0.01338</v>
      </c>
      <c r="B39" s="19" t="n">
        <v>0.02769</v>
      </c>
      <c r="C39" s="20" t="n">
        <f aca="false">$G$1</f>
        <v>518</v>
      </c>
      <c r="D39" s="20" t="n">
        <f aca="false">(( -A39 - (-0.25) ) * SIN(RADIANS($F$1)) + (B39 - 0) * COS(RADIANS($F$1)) - 0.25 * SIN(RADIANS($F$1))) * $E$1 + ($G$1 * TAN(RADIANS($I$1)))</f>
        <v>42.4523385867384</v>
      </c>
      <c r="E39" s="20" t="n">
        <f aca="false">(( -A39 - (-0.25) ) * COS(RADIANS($F$1)) - (B39 - 0) * SIN(RADIANS($F$1)) + (-0.25)) * $E$1 - ($G$1 * TAN(RADIANS($H$1)))</f>
        <v>-103.887160887038</v>
      </c>
    </row>
    <row r="40" customFormat="false" ht="18" hidden="false" customHeight="true" outlineLevel="0" collapsed="false">
      <c r="A40" s="21" t="n">
        <v>0.00548</v>
      </c>
      <c r="B40" s="21" t="n">
        <v>0.01518</v>
      </c>
      <c r="C40" s="22" t="n">
        <f aca="false">$G$1</f>
        <v>518</v>
      </c>
      <c r="D40" s="22" t="n">
        <f aca="false">(( -A40 - (-0.25) ) * SIN(RADIANS($F$1)) + (B40 - 0) * COS(RADIANS($F$1)) - 0.25 * SIN(RADIANS($F$1))) * $E$1 + ($G$1 * TAN(RADIANS($I$1)))</f>
        <v>39.6375885867384</v>
      </c>
      <c r="E40" s="22" t="n">
        <f aca="false">(( -A40 - (-0.25) ) * COS(RADIANS($F$1)) - (B40 - 0) * SIN(RADIANS($F$1)) + (-0.25)) * $E$1 - ($G$1 * TAN(RADIANS($H$1)))</f>
        <v>-102.109660887038</v>
      </c>
    </row>
    <row r="41" customFormat="false" ht="18" hidden="false" customHeight="true" outlineLevel="0" collapsed="false">
      <c r="A41" s="19" t="n">
        <v>0.00098</v>
      </c>
      <c r="B41" s="19" t="n">
        <v>0.00518</v>
      </c>
      <c r="C41" s="20" t="n">
        <f aca="false">$G$1</f>
        <v>518</v>
      </c>
      <c r="D41" s="20" t="n">
        <f aca="false">(( -A41 - (-0.25) ) * SIN(RADIANS($F$1)) + (B41 - 0) * COS(RADIANS($F$1)) - 0.25 * SIN(RADIANS($F$1))) * $E$1 + ($G$1 * TAN(RADIANS($I$1)))</f>
        <v>37.3875885867384</v>
      </c>
      <c r="E41" s="20" t="n">
        <f aca="false">(( -A41 - (-0.25) ) * COS(RADIANS($F$1)) - (B41 - 0) * SIN(RADIANS($F$1)) + (-0.25)) * $E$1 - ($G$1 * TAN(RADIANS($H$1)))</f>
        <v>-101.097160887038</v>
      </c>
    </row>
    <row r="42" customFormat="false" ht="18" hidden="false" customHeight="true" outlineLevel="0" collapsed="false">
      <c r="A42" s="21" t="n">
        <v>0</v>
      </c>
      <c r="B42" s="21" t="n">
        <v>-0.00021</v>
      </c>
      <c r="C42" s="22" t="n">
        <f aca="false">$G$1</f>
        <v>518</v>
      </c>
      <c r="D42" s="22" t="n">
        <f aca="false">(( -A42 - (-0.25) ) * SIN(RADIANS($F$1)) + (B42 - 0) * COS(RADIANS($F$1)) - 0.25 * SIN(RADIANS($F$1))) * $E$1 + ($G$1 * TAN(RADIANS($I$1)))</f>
        <v>36.1748385867384</v>
      </c>
      <c r="E42" s="22" t="n">
        <f aca="false">(( -A42 - (-0.25) ) * COS(RADIANS($F$1)) - (B42 - 0) * SIN(RADIANS($F$1)) + (-0.25)) * $E$1 - ($G$1 * TAN(RADIANS($H$1)))</f>
        <v>-100.876660887038</v>
      </c>
    </row>
    <row r="43" customFormat="false" ht="18" hidden="false" customHeight="true" outlineLevel="0" collapsed="false">
      <c r="A43" s="19" t="n">
        <v>0.00098</v>
      </c>
      <c r="B43" s="19" t="n">
        <v>-0.00435</v>
      </c>
      <c r="C43" s="20" t="n">
        <f aca="false">$G$1</f>
        <v>518</v>
      </c>
      <c r="D43" s="20" t="n">
        <f aca="false">(( -A43 - (-0.25) ) * SIN(RADIANS($F$1)) + (B43 - 0) * COS(RADIANS($F$1)) - 0.25 * SIN(RADIANS($F$1))) * $E$1 + ($G$1 * TAN(RADIANS($I$1)))</f>
        <v>35.2433385867384</v>
      </c>
      <c r="E43" s="20" t="n">
        <f aca="false">(( -A43 - (-0.25) ) * COS(RADIANS($F$1)) - (B43 - 0) * SIN(RADIANS($F$1)) + (-0.25)) * $E$1 - ($G$1 * TAN(RADIANS($H$1)))</f>
        <v>-101.097160887038</v>
      </c>
    </row>
    <row r="44" customFormat="false" ht="18" hidden="false" customHeight="true" outlineLevel="0" collapsed="false">
      <c r="A44" s="21" t="n">
        <v>0.00548</v>
      </c>
      <c r="B44" s="21" t="n">
        <v>-0.00787</v>
      </c>
      <c r="C44" s="22" t="n">
        <f aca="false">$G$1</f>
        <v>518</v>
      </c>
      <c r="D44" s="22" t="n">
        <f aca="false">(( -A44 - (-0.25) ) * SIN(RADIANS($F$1)) + (B44 - 0) * COS(RADIANS($F$1)) - 0.25 * SIN(RADIANS($F$1))) * $E$1 + ($G$1 * TAN(RADIANS($I$1)))</f>
        <v>34.4513385867384</v>
      </c>
      <c r="E44" s="22" t="n">
        <f aca="false">(( -A44 - (-0.25) ) * COS(RADIANS($F$1)) - (B44 - 0) * SIN(RADIANS($F$1)) + (-0.25)) * $E$1 - ($G$1 * TAN(RADIANS($H$1)))</f>
        <v>-102.109660887038</v>
      </c>
    </row>
    <row r="45" customFormat="false" ht="18" hidden="false" customHeight="true" outlineLevel="0" collapsed="false">
      <c r="A45" s="19" t="n">
        <v>0.01338</v>
      </c>
      <c r="B45" s="19" t="n">
        <v>-0.00871</v>
      </c>
      <c r="C45" s="20" t="n">
        <f aca="false">$G$1</f>
        <v>518</v>
      </c>
      <c r="D45" s="20" t="n">
        <f aca="false">(( -A45 - (-0.25) ) * SIN(RADIANS($F$1)) + (B45 - 0) * COS(RADIANS($F$1)) - 0.25 * SIN(RADIANS($F$1))) * $E$1 + ($G$1 * TAN(RADIANS($I$1)))</f>
        <v>34.2623385867384</v>
      </c>
      <c r="E45" s="20" t="n">
        <f aca="false">(( -A45 - (-0.25) ) * COS(RADIANS($F$1)) - (B45 - 0) * SIN(RADIANS($F$1)) + (-0.25)) * $E$1 - ($G$1 * TAN(RADIANS($H$1)))</f>
        <v>-103.887160887038</v>
      </c>
    </row>
    <row r="46" customFormat="false" ht="18" hidden="false" customHeight="true" outlineLevel="0" collapsed="false">
      <c r="A46" s="21" t="n">
        <v>0.02433</v>
      </c>
      <c r="B46" s="21" t="n">
        <v>-0.00754</v>
      </c>
      <c r="C46" s="22" t="n">
        <f aca="false">$G$1</f>
        <v>518</v>
      </c>
      <c r="D46" s="22" t="n">
        <f aca="false">(( -A46 - (-0.25) ) * SIN(RADIANS($F$1)) + (B46 - 0) * COS(RADIANS($F$1)) - 0.25 * SIN(RADIANS($F$1))) * $E$1 + ($G$1 * TAN(RADIANS($I$1)))</f>
        <v>34.5255885867384</v>
      </c>
      <c r="E46" s="22" t="n">
        <f aca="false">(( -A46 - (-0.25) ) * COS(RADIANS($F$1)) - (B46 - 0) * SIN(RADIANS($F$1)) + (-0.25)) * $E$1 - ($G$1 * TAN(RADIANS($H$1)))</f>
        <v>-106.350910887038</v>
      </c>
    </row>
    <row r="47" customFormat="false" ht="18" hidden="false" customHeight="true" outlineLevel="0" collapsed="false">
      <c r="A47" s="19" t="n">
        <v>0.03811</v>
      </c>
      <c r="B47" s="19" t="n">
        <v>-0.00539</v>
      </c>
      <c r="C47" s="20" t="n">
        <f aca="false">$G$1</f>
        <v>518</v>
      </c>
      <c r="D47" s="20" t="n">
        <f aca="false">(( -A47 - (-0.25) ) * SIN(RADIANS($F$1)) + (B47 - 0) * COS(RADIANS($F$1)) - 0.25 * SIN(RADIANS($F$1))) * $E$1 + ($G$1 * TAN(RADIANS($I$1)))</f>
        <v>35.0093385867384</v>
      </c>
      <c r="E47" s="20" t="n">
        <f aca="false">(( -A47 - (-0.25) ) * COS(RADIANS($F$1)) - (B47 - 0) * SIN(RADIANS($F$1)) + (-0.25)) * $E$1 - ($G$1 * TAN(RADIANS($H$1)))</f>
        <v>-109.451410887038</v>
      </c>
    </row>
    <row r="48" customFormat="false" ht="18" hidden="false" customHeight="true" outlineLevel="0" collapsed="false">
      <c r="A48" s="21" t="n">
        <v>0.05468</v>
      </c>
      <c r="B48" s="21" t="n">
        <v>-0.00292</v>
      </c>
      <c r="C48" s="22" t="n">
        <f aca="false">$G$1</f>
        <v>518</v>
      </c>
      <c r="D48" s="22" t="n">
        <f aca="false">(( -A48 - (-0.25) ) * SIN(RADIANS($F$1)) + (B48 - 0) * COS(RADIANS($F$1)) - 0.25 * SIN(RADIANS($F$1))) * $E$1 + ($G$1 * TAN(RADIANS($I$1)))</f>
        <v>35.5650885867384</v>
      </c>
      <c r="E48" s="22" t="n">
        <f aca="false">(( -A48 - (-0.25) ) * COS(RADIANS($F$1)) - (B48 - 0) * SIN(RADIANS($F$1)) + (-0.25)) * $E$1 - ($G$1 * TAN(RADIANS($H$1)))</f>
        <v>-113.179660887038</v>
      </c>
    </row>
    <row r="49" customFormat="false" ht="18" hidden="false" customHeight="true" outlineLevel="0" collapsed="false">
      <c r="A49" s="19" t="n">
        <v>0.07395</v>
      </c>
      <c r="B49" s="19" t="n">
        <v>-0.00022</v>
      </c>
      <c r="C49" s="20" t="n">
        <f aca="false">$G$1</f>
        <v>518</v>
      </c>
      <c r="D49" s="20" t="n">
        <f aca="false">(( -A49 - (-0.25) ) * SIN(RADIANS($F$1)) + (B49 - 0) * COS(RADIANS($F$1)) - 0.25 * SIN(RADIANS($F$1))) * $E$1 + ($G$1 * TAN(RADIANS($I$1)))</f>
        <v>36.1725885867384</v>
      </c>
      <c r="E49" s="20" t="n">
        <f aca="false">(( -A49 - (-0.25) ) * COS(RADIANS($F$1)) - (B49 - 0) * SIN(RADIANS($F$1)) + (-0.25)) * $E$1 - ($G$1 * TAN(RADIANS($H$1)))</f>
        <v>-117.515410887038</v>
      </c>
    </row>
    <row r="50" customFormat="false" ht="18" hidden="false" customHeight="true" outlineLevel="0" collapsed="false">
      <c r="A50" s="21" t="n">
        <v>0.09576</v>
      </c>
      <c r="B50" s="21" t="n">
        <v>0.0027</v>
      </c>
      <c r="C50" s="22" t="n">
        <f aca="false">$G$1</f>
        <v>518</v>
      </c>
      <c r="D50" s="22" t="n">
        <f aca="false">(( -A50 - (-0.25) ) * SIN(RADIANS($F$1)) + (B50 - 0) * COS(RADIANS($F$1)) - 0.25 * SIN(RADIANS($F$1))) * $E$1 + ($G$1 * TAN(RADIANS($I$1)))</f>
        <v>36.8295885867384</v>
      </c>
      <c r="E50" s="22" t="n">
        <f aca="false">(( -A50 - (-0.25) ) * COS(RADIANS($F$1)) - (B50 - 0) * SIN(RADIANS($F$1)) + (-0.25)) * $E$1 - ($G$1 * TAN(RADIANS($H$1)))</f>
        <v>-122.422660887038</v>
      </c>
    </row>
    <row r="51" customFormat="false" ht="18" hidden="false" customHeight="true" outlineLevel="0" collapsed="false">
      <c r="A51" s="19" t="n">
        <v>0.11999</v>
      </c>
      <c r="B51" s="19" t="n">
        <v>0.00584</v>
      </c>
      <c r="C51" s="20" t="n">
        <f aca="false">$G$1</f>
        <v>518</v>
      </c>
      <c r="D51" s="20" t="n">
        <f aca="false">(( -A51 - (-0.25) ) * SIN(RADIANS($F$1)) + (B51 - 0) * COS(RADIANS($F$1)) - 0.25 * SIN(RADIANS($F$1))) * $E$1 + ($G$1 * TAN(RADIANS($I$1)))</f>
        <v>37.5360885867384</v>
      </c>
      <c r="E51" s="20" t="n">
        <f aca="false">(( -A51 - (-0.25) ) * COS(RADIANS($F$1)) - (B51 - 0) * SIN(RADIANS($F$1)) + (-0.25)) * $E$1 - ($G$1 * TAN(RADIANS($H$1)))</f>
        <v>-127.874410887038</v>
      </c>
    </row>
    <row r="52" customFormat="false" ht="18" hidden="false" customHeight="true" outlineLevel="0" collapsed="false">
      <c r="A52" s="21" t="n">
        <v>0.14648</v>
      </c>
      <c r="B52" s="21" t="n">
        <v>0.00921</v>
      </c>
      <c r="C52" s="22" t="n">
        <f aca="false">$G$1</f>
        <v>518</v>
      </c>
      <c r="D52" s="22" t="n">
        <f aca="false">(( -A52 - (-0.25) ) * SIN(RADIANS($F$1)) + (B52 - 0) * COS(RADIANS($F$1)) - 0.25 * SIN(RADIANS($F$1))) * $E$1 + ($G$1 * TAN(RADIANS($I$1)))</f>
        <v>38.2943385867384</v>
      </c>
      <c r="E52" s="22" t="n">
        <f aca="false">(( -A52 - (-0.25) ) * COS(RADIANS($F$1)) - (B52 - 0) * SIN(RADIANS($F$1)) + (-0.25)) * $E$1 - ($G$1 * TAN(RADIANS($H$1)))</f>
        <v>-133.834660887038</v>
      </c>
    </row>
    <row r="53" customFormat="false" ht="18" hidden="false" customHeight="true" outlineLevel="0" collapsed="false">
      <c r="A53" s="19" t="n">
        <v>0.17504</v>
      </c>
      <c r="B53" s="19" t="n">
        <v>0.01279</v>
      </c>
      <c r="C53" s="20" t="n">
        <f aca="false">$G$1</f>
        <v>518</v>
      </c>
      <c r="D53" s="20" t="n">
        <f aca="false">(( -A53 - (-0.25) ) * SIN(RADIANS($F$1)) + (B53 - 0) * COS(RADIANS($F$1)) - 0.25 * SIN(RADIANS($F$1))) * $E$1 + ($G$1 * TAN(RADIANS($I$1)))</f>
        <v>39.0998385867384</v>
      </c>
      <c r="E53" s="20" t="n">
        <f aca="false">(( -A53 - (-0.25) ) * COS(RADIANS($F$1)) - (B53 - 0) * SIN(RADIANS($F$1)) + (-0.25)) * $E$1 - ($G$1 * TAN(RADIANS($H$1)))</f>
        <v>-140.260660887038</v>
      </c>
    </row>
    <row r="54" customFormat="false" ht="18" hidden="false" customHeight="true" outlineLevel="0" collapsed="false">
      <c r="A54" s="21" t="n">
        <v>0.20549</v>
      </c>
      <c r="B54" s="21" t="n">
        <v>0.01651</v>
      </c>
      <c r="C54" s="22" t="n">
        <f aca="false">$G$1</f>
        <v>518</v>
      </c>
      <c r="D54" s="22" t="n">
        <f aca="false">(( -A54 - (-0.25) ) * SIN(RADIANS($F$1)) + (B54 - 0) * COS(RADIANS($F$1)) - 0.25 * SIN(RADIANS($F$1))) * $E$1 + ($G$1 * TAN(RADIANS($I$1)))</f>
        <v>39.9368385867384</v>
      </c>
      <c r="E54" s="22" t="n">
        <f aca="false">(( -A54 - (-0.25) ) * COS(RADIANS($F$1)) - (B54 - 0) * SIN(RADIANS($F$1)) + (-0.25)) * $E$1 - ($G$1 * TAN(RADIANS($H$1)))</f>
        <v>-147.111910887038</v>
      </c>
    </row>
    <row r="55" customFormat="false" ht="18" hidden="false" customHeight="true" outlineLevel="0" collapsed="false">
      <c r="A55" s="19" t="n">
        <v>0.2376</v>
      </c>
      <c r="B55" s="19" t="n">
        <v>0.0203</v>
      </c>
      <c r="C55" s="20" t="n">
        <f aca="false">$G$1</f>
        <v>518</v>
      </c>
      <c r="D55" s="20" t="n">
        <f aca="false">(( -A55 - (-0.25) ) * SIN(RADIANS($F$1)) + (B55 - 0) * COS(RADIANS($F$1)) - 0.25 * SIN(RADIANS($F$1))) * $E$1 + ($G$1 * TAN(RADIANS($I$1)))</f>
        <v>40.7895885867384</v>
      </c>
      <c r="E55" s="20" t="n">
        <f aca="false">(( -A55 - (-0.25) ) * COS(RADIANS($F$1)) - (B55 - 0) * SIN(RADIANS($F$1)) + (-0.25)) * $E$1 - ($G$1 * TAN(RADIANS($H$1)))</f>
        <v>-154.336660887038</v>
      </c>
    </row>
    <row r="56" customFormat="false" ht="18" hidden="false" customHeight="true" outlineLevel="0" collapsed="false">
      <c r="A56" s="21" t="n">
        <v>0.2712</v>
      </c>
      <c r="B56" s="21" t="n">
        <v>0.0241</v>
      </c>
      <c r="C56" s="22" t="n">
        <f aca="false">$G$1</f>
        <v>518</v>
      </c>
      <c r="D56" s="22" t="n">
        <f aca="false">(( -A56 - (-0.25) ) * SIN(RADIANS($F$1)) + (B56 - 0) * COS(RADIANS($F$1)) - 0.25 * SIN(RADIANS($F$1))) * $E$1 + ($G$1 * TAN(RADIANS($I$1)))</f>
        <v>41.6445885867384</v>
      </c>
      <c r="E56" s="22" t="n">
        <f aca="false">(( -A56 - (-0.25) ) * COS(RADIANS($F$1)) - (B56 - 0) * SIN(RADIANS($F$1)) + (-0.25)) * $E$1 - ($G$1 * TAN(RADIANS($H$1)))</f>
        <v>-161.896660887038</v>
      </c>
    </row>
    <row r="57" customFormat="false" ht="18" hidden="false" customHeight="true" outlineLevel="0" collapsed="false">
      <c r="A57" s="19" t="n">
        <v>0.30609</v>
      </c>
      <c r="B57" s="19" t="n">
        <v>0.02786</v>
      </c>
      <c r="C57" s="20" t="n">
        <f aca="false">$G$1</f>
        <v>518</v>
      </c>
      <c r="D57" s="20" t="n">
        <f aca="false">(( -A57 - (-0.25) ) * SIN(RADIANS($F$1)) + (B57 - 0) * COS(RADIANS($F$1)) - 0.25 * SIN(RADIANS($F$1))) * $E$1 + ($G$1 * TAN(RADIANS($I$1)))</f>
        <v>42.4905885867384</v>
      </c>
      <c r="E57" s="20" t="n">
        <f aca="false">(( -A57 - (-0.25) ) * COS(RADIANS($F$1)) - (B57 - 0) * SIN(RADIANS($F$1)) + (-0.25)) * $E$1 - ($G$1 * TAN(RADIANS($H$1)))</f>
        <v>-169.746910887038</v>
      </c>
    </row>
    <row r="58" customFormat="false" ht="18" hidden="false" customHeight="true" outlineLevel="0" collapsed="false">
      <c r="A58" s="21" t="n">
        <v>0.34204</v>
      </c>
      <c r="B58" s="21" t="n">
        <v>0.03152</v>
      </c>
      <c r="C58" s="22" t="n">
        <f aca="false">$G$1</f>
        <v>518</v>
      </c>
      <c r="D58" s="22" t="n">
        <f aca="false">(( -A58 - (-0.25) ) * SIN(RADIANS($F$1)) + (B58 - 0) * COS(RADIANS($F$1)) - 0.25 * SIN(RADIANS($F$1))) * $E$1 + ($G$1 * TAN(RADIANS($I$1)))</f>
        <v>43.3140885867384</v>
      </c>
      <c r="E58" s="22" t="n">
        <f aca="false">(( -A58 - (-0.25) ) * COS(RADIANS($F$1)) - (B58 - 0) * SIN(RADIANS($F$1)) + (-0.25)) * $E$1 - ($G$1 * TAN(RADIANS($H$1)))</f>
        <v>-177.835660887038</v>
      </c>
    </row>
    <row r="59" customFormat="false" ht="18" hidden="false" customHeight="true" outlineLevel="0" collapsed="false">
      <c r="A59" s="19" t="n">
        <v>0.37887</v>
      </c>
      <c r="B59" s="19" t="n">
        <v>0.03503</v>
      </c>
      <c r="C59" s="20" t="n">
        <f aca="false">$G$1</f>
        <v>518</v>
      </c>
      <c r="D59" s="20" t="n">
        <f aca="false">(( -A59 - (-0.25) ) * SIN(RADIANS($F$1)) + (B59 - 0) * COS(RADIANS($F$1)) - 0.25 * SIN(RADIANS($F$1))) * $E$1 + ($G$1 * TAN(RADIANS($I$1)))</f>
        <v>44.1038385867384</v>
      </c>
      <c r="E59" s="20" t="n">
        <f aca="false">(( -A59 - (-0.25) ) * COS(RADIANS($F$1)) - (B59 - 0) * SIN(RADIANS($F$1)) + (-0.25)) * $E$1 - ($G$1 * TAN(RADIANS($H$1)))</f>
        <v>-186.122410887038</v>
      </c>
    </row>
    <row r="60" customFormat="false" ht="18" hidden="false" customHeight="true" outlineLevel="0" collapsed="false">
      <c r="A60" s="21" t="n">
        <v>0.41638</v>
      </c>
      <c r="B60" s="21" t="n">
        <v>0.03832</v>
      </c>
      <c r="C60" s="22" t="n">
        <f aca="false">$G$1</f>
        <v>518</v>
      </c>
      <c r="D60" s="22" t="n">
        <f aca="false">(( -A60 - (-0.25) ) * SIN(RADIANS($F$1)) + (B60 - 0) * COS(RADIANS($F$1)) - 0.25 * SIN(RADIANS($F$1))) * $E$1 + ($G$1 * TAN(RADIANS($I$1)))</f>
        <v>44.8440885867384</v>
      </c>
      <c r="E60" s="22" t="n">
        <f aca="false">(( -A60 - (-0.25) ) * COS(RADIANS($F$1)) - (B60 - 0) * SIN(RADIANS($F$1)) + (-0.25)) * $E$1 - ($G$1 * TAN(RADIANS($H$1)))</f>
        <v>-194.562160887038</v>
      </c>
    </row>
    <row r="61" customFormat="false" ht="18" hidden="false" customHeight="true" outlineLevel="0" collapsed="false">
      <c r="A61" s="19" t="n">
        <v>0.45435</v>
      </c>
      <c r="B61" s="19" t="n">
        <v>0.04134</v>
      </c>
      <c r="C61" s="20" t="n">
        <f aca="false">$G$1</f>
        <v>518</v>
      </c>
      <c r="D61" s="20" t="n">
        <f aca="false">(( -A61 - (-0.25) ) * SIN(RADIANS($F$1)) + (B61 - 0) * COS(RADIANS($F$1)) - 0.25 * SIN(RADIANS($F$1))) * $E$1 + ($G$1 * TAN(RADIANS($I$1)))</f>
        <v>45.5235885867384</v>
      </c>
      <c r="E61" s="20" t="n">
        <f aca="false">(( -A61 - (-0.25) ) * COS(RADIANS($F$1)) - (B61 - 0) * SIN(RADIANS($F$1)) + (-0.25)) * $E$1 - ($G$1 * TAN(RADIANS($H$1)))</f>
        <v>-203.105410887038</v>
      </c>
    </row>
    <row r="62" customFormat="false" ht="18" hidden="false" customHeight="true" outlineLevel="0" collapsed="false">
      <c r="A62" s="21" t="n">
        <v>0.49265</v>
      </c>
      <c r="B62" s="21" t="n">
        <v>0.044</v>
      </c>
      <c r="C62" s="22" t="n">
        <f aca="false">$G$1</f>
        <v>518</v>
      </c>
      <c r="D62" s="22" t="n">
        <f aca="false">(( -A62 - (-0.25) ) * SIN(RADIANS($F$1)) + (B62 - 0) * COS(RADIANS($F$1)) - 0.25 * SIN(RADIANS($F$1))) * $E$1 + ($G$1 * TAN(RADIANS($I$1)))</f>
        <v>46.1220885867384</v>
      </c>
      <c r="E62" s="22" t="n">
        <f aca="false">(( -A62 - (-0.25) ) * COS(RADIANS($F$1)) - (B62 - 0) * SIN(RADIANS($F$1)) + (-0.25)) * $E$1 - ($G$1 * TAN(RADIANS($H$1)))</f>
        <v>-211.722910887038</v>
      </c>
    </row>
    <row r="63" customFormat="false" ht="18" hidden="false" customHeight="true" outlineLevel="0" collapsed="false">
      <c r="A63" s="19" t="n">
        <v>0.53099</v>
      </c>
      <c r="B63" s="19" t="n">
        <v>0.04624</v>
      </c>
      <c r="C63" s="20" t="n">
        <f aca="false">$G$1</f>
        <v>518</v>
      </c>
      <c r="D63" s="20" t="n">
        <f aca="false">(( -A63 - (-0.25) ) * SIN(RADIANS($F$1)) + (B63 - 0) * COS(RADIANS($F$1)) - 0.25 * SIN(RADIANS($F$1))) * $E$1 + ($G$1 * TAN(RADIANS($I$1)))</f>
        <v>46.6260885867384</v>
      </c>
      <c r="E63" s="20" t="n">
        <f aca="false">(( -A63 - (-0.25) ) * COS(RADIANS($F$1)) - (B63 - 0) * SIN(RADIANS($F$1)) + (-0.25)) * $E$1 - ($G$1 * TAN(RADIANS($H$1)))</f>
        <v>-220.349410887038</v>
      </c>
    </row>
    <row r="64" customFormat="false" ht="18" hidden="false" customHeight="true" outlineLevel="0" collapsed="false">
      <c r="A64" s="21" t="n">
        <v>0.56937</v>
      </c>
      <c r="B64" s="21" t="n">
        <v>0.04801</v>
      </c>
      <c r="C64" s="22" t="n">
        <f aca="false">$G$1</f>
        <v>518</v>
      </c>
      <c r="D64" s="22" t="n">
        <f aca="false">(( -A64 - (-0.25) ) * SIN(RADIANS($F$1)) + (B64 - 0) * COS(RADIANS($F$1)) - 0.25 * SIN(RADIANS($F$1))) * $E$1 + ($G$1 * TAN(RADIANS($I$1)))</f>
        <v>47.0243385867384</v>
      </c>
      <c r="E64" s="22" t="n">
        <f aca="false">(( -A64 - (-0.25) ) * COS(RADIANS($F$1)) - (B64 - 0) * SIN(RADIANS($F$1)) + (-0.25)) * $E$1 - ($G$1 * TAN(RADIANS($H$1)))</f>
        <v>-228.984910887038</v>
      </c>
    </row>
    <row r="65" customFormat="false" ht="18" hidden="false" customHeight="true" outlineLevel="0" collapsed="false">
      <c r="A65" s="19" t="n">
        <v>0.60778</v>
      </c>
      <c r="B65" s="19" t="n">
        <v>0.04925</v>
      </c>
      <c r="C65" s="20" t="n">
        <f aca="false">$G$1</f>
        <v>518</v>
      </c>
      <c r="D65" s="20" t="n">
        <f aca="false">(( -A65 - (-0.25) ) * SIN(RADIANS($F$1)) + (B65 - 0) * COS(RADIANS($F$1)) - 0.25 * SIN(RADIANS($F$1))) * $E$1 + ($G$1 * TAN(RADIANS($I$1)))</f>
        <v>47.3033385867384</v>
      </c>
      <c r="E65" s="20" t="n">
        <f aca="false">(( -A65 - (-0.25) ) * COS(RADIANS($F$1)) - (B65 - 0) * SIN(RADIANS($F$1)) + (-0.25)) * $E$1 - ($G$1 * TAN(RADIANS($H$1)))</f>
        <v>-237.627160887038</v>
      </c>
    </row>
    <row r="66" customFormat="false" ht="18" hidden="false" customHeight="true" outlineLevel="0" collapsed="false">
      <c r="A66" s="21" t="n">
        <v>0.64594</v>
      </c>
      <c r="B66" s="21" t="n">
        <v>0.04992</v>
      </c>
      <c r="C66" s="22" t="n">
        <f aca="false">$G$1</f>
        <v>518</v>
      </c>
      <c r="D66" s="22" t="n">
        <f aca="false">(( -A66 - (-0.25) ) * SIN(RADIANS($F$1)) + (B66 - 0) * COS(RADIANS($F$1)) - 0.25 * SIN(RADIANS($F$1))) * $E$1 + ($G$1 * TAN(RADIANS($I$1)))</f>
        <v>47.4540885867384</v>
      </c>
      <c r="E66" s="22" t="n">
        <f aca="false">(( -A66 - (-0.25) ) * COS(RADIANS($F$1)) - (B66 - 0) * SIN(RADIANS($F$1)) + (-0.25)) * $E$1 - ($G$1 * TAN(RADIANS($H$1)))</f>
        <v>-246.213160887038</v>
      </c>
    </row>
    <row r="67" customFormat="false" ht="18" hidden="false" customHeight="true" outlineLevel="0" collapsed="false">
      <c r="A67" s="19" t="n">
        <v>0.68359</v>
      </c>
      <c r="B67" s="19" t="n">
        <v>0.04997</v>
      </c>
      <c r="C67" s="20" t="n">
        <f aca="false">$G$1</f>
        <v>518</v>
      </c>
      <c r="D67" s="20" t="n">
        <f aca="false">(( -A67 - (-0.25) ) * SIN(RADIANS($F$1)) + (B67 - 0) * COS(RADIANS($F$1)) - 0.25 * SIN(RADIANS($F$1))) * $E$1 + ($G$1 * TAN(RADIANS($I$1)))</f>
        <v>47.4653385867384</v>
      </c>
      <c r="E67" s="20" t="n">
        <f aca="false">(( -A67 - (-0.25) ) * COS(RADIANS($F$1)) - (B67 - 0) * SIN(RADIANS($F$1)) + (-0.25)) * $E$1 - ($G$1 * TAN(RADIANS($H$1)))</f>
        <v>-254.684410887038</v>
      </c>
    </row>
    <row r="68" customFormat="false" ht="18" hidden="false" customHeight="true" outlineLevel="0" collapsed="false">
      <c r="A68" s="21" t="n">
        <v>0.72043</v>
      </c>
      <c r="B68" s="21" t="n">
        <v>0.04936</v>
      </c>
      <c r="C68" s="22" t="n">
        <f aca="false">$G$1</f>
        <v>518</v>
      </c>
      <c r="D68" s="22" t="n">
        <f aca="false">(( -A68 - (-0.25) ) * SIN(RADIANS($F$1)) + (B68 - 0) * COS(RADIANS($F$1)) - 0.25 * SIN(RADIANS($F$1))) * $E$1 + ($G$1 * TAN(RADIANS($I$1)))</f>
        <v>47.3280885867384</v>
      </c>
      <c r="E68" s="22" t="n">
        <f aca="false">(( -A68 - (-0.25) ) * COS(RADIANS($F$1)) - (B68 - 0) * SIN(RADIANS($F$1)) + (-0.25)) * $E$1 - ($G$1 * TAN(RADIANS($H$1)))</f>
        <v>-262.973410887038</v>
      </c>
    </row>
    <row r="69" customFormat="false" ht="18" hidden="false" customHeight="true" outlineLevel="0" collapsed="false">
      <c r="A69" s="19" t="n">
        <v>0.75616</v>
      </c>
      <c r="B69" s="19" t="n">
        <v>0.04807</v>
      </c>
      <c r="C69" s="20" t="n">
        <f aca="false">$G$1</f>
        <v>518</v>
      </c>
      <c r="D69" s="20" t="n">
        <f aca="false">(( -A69 - (-0.25) ) * SIN(RADIANS($F$1)) + (B69 - 0) * COS(RADIANS($F$1)) - 0.25 * SIN(RADIANS($F$1))) * $E$1 + ($G$1 * TAN(RADIANS($I$1)))</f>
        <v>47.0378385867384</v>
      </c>
      <c r="E69" s="20" t="n">
        <f aca="false">(( -A69 - (-0.25) ) * COS(RADIANS($F$1)) - (B69 - 0) * SIN(RADIANS($F$1)) + (-0.25)) * $E$1 - ($G$1 * TAN(RADIANS($H$1)))</f>
        <v>-271.012660887038</v>
      </c>
    </row>
    <row r="70" customFormat="false" ht="18" hidden="false" customHeight="true" outlineLevel="0" collapsed="false">
      <c r="A70" s="21" t="n">
        <v>0.79048</v>
      </c>
      <c r="B70" s="21" t="n">
        <v>0.04608</v>
      </c>
      <c r="C70" s="22" t="n">
        <f aca="false">$G$1</f>
        <v>518</v>
      </c>
      <c r="D70" s="22" t="n">
        <f aca="false">(( -A70 - (-0.25) ) * SIN(RADIANS($F$1)) + (B70 - 0) * COS(RADIANS($F$1)) - 0.25 * SIN(RADIANS($F$1))) * $E$1 + ($G$1 * TAN(RADIANS($I$1)))</f>
        <v>46.5900885867384</v>
      </c>
      <c r="E70" s="22" t="n">
        <f aca="false">(( -A70 - (-0.25) ) * COS(RADIANS($F$1)) - (B70 - 0) * SIN(RADIANS($F$1)) + (-0.25)) * $E$1 - ($G$1 * TAN(RADIANS($H$1)))</f>
        <v>-278.734660887038</v>
      </c>
    </row>
    <row r="71" customFormat="false" ht="18" hidden="false" customHeight="true" outlineLevel="0" collapsed="false">
      <c r="A71" s="19" t="n">
        <v>0.82309</v>
      </c>
      <c r="B71" s="19" t="n">
        <v>0.04334</v>
      </c>
      <c r="C71" s="20" t="n">
        <f aca="false">$G$1</f>
        <v>518</v>
      </c>
      <c r="D71" s="20" t="n">
        <f aca="false">(( -A71 - (-0.25) ) * SIN(RADIANS($F$1)) + (B71 - 0) * COS(RADIANS($F$1)) - 0.25 * SIN(RADIANS($F$1))) * $E$1 + ($G$1 * TAN(RADIANS($I$1)))</f>
        <v>45.9735885867384</v>
      </c>
      <c r="E71" s="20" t="n">
        <f aca="false">(( -A71 - (-0.25) ) * COS(RADIANS($F$1)) - (B71 - 0) * SIN(RADIANS($F$1)) + (-0.25)) * $E$1 - ($G$1 * TAN(RADIANS($H$1)))</f>
        <v>-286.071910887038</v>
      </c>
    </row>
    <row r="72" customFormat="false" ht="18" hidden="false" customHeight="true" outlineLevel="0" collapsed="false">
      <c r="A72" s="21" t="n">
        <v>0.8537</v>
      </c>
      <c r="B72" s="21" t="n">
        <v>0.03978</v>
      </c>
      <c r="C72" s="22" t="n">
        <f aca="false">$G$1</f>
        <v>518</v>
      </c>
      <c r="D72" s="22" t="n">
        <f aca="false">(( -A72 - (-0.25) ) * SIN(RADIANS($F$1)) + (B72 - 0) * COS(RADIANS($F$1)) - 0.25 * SIN(RADIANS($F$1))) * $E$1 + ($G$1 * TAN(RADIANS($I$1)))</f>
        <v>45.1725885867384</v>
      </c>
      <c r="E72" s="22" t="n">
        <f aca="false">(( -A72 - (-0.25) ) * COS(RADIANS($F$1)) - (B72 - 0) * SIN(RADIANS($F$1)) + (-0.25)) * $E$1 - ($G$1 * TAN(RADIANS($H$1)))</f>
        <v>-292.959160887038</v>
      </c>
    </row>
    <row r="73" customFormat="false" ht="18" hidden="false" customHeight="true" outlineLevel="0" collapsed="false">
      <c r="A73" s="19" t="n">
        <v>0.88202</v>
      </c>
      <c r="B73" s="19" t="n">
        <v>0.03537</v>
      </c>
      <c r="C73" s="20" t="n">
        <f aca="false">$G$1</f>
        <v>518</v>
      </c>
      <c r="D73" s="20" t="n">
        <f aca="false">(( -A73 - (-0.25) ) * SIN(RADIANS($F$1)) + (B73 - 0) * COS(RADIANS($F$1)) - 0.25 * SIN(RADIANS($F$1))) * $E$1 + ($G$1 * TAN(RADIANS($I$1)))</f>
        <v>44.1803385867384</v>
      </c>
      <c r="E73" s="20" t="n">
        <f aca="false">(( -A73 - (-0.25) ) * COS(RADIANS($F$1)) - (B73 - 0) * SIN(RADIANS($F$1)) + (-0.25)) * $E$1 - ($G$1 * TAN(RADIANS($H$1)))</f>
        <v>-299.331160887038</v>
      </c>
    </row>
    <row r="74" customFormat="false" ht="18" hidden="false" customHeight="true" outlineLevel="0" collapsed="false">
      <c r="A74" s="21" t="n">
        <v>0.90775</v>
      </c>
      <c r="B74" s="21" t="n">
        <v>0.03013</v>
      </c>
      <c r="C74" s="22" t="n">
        <f aca="false">$G$1</f>
        <v>518</v>
      </c>
      <c r="D74" s="22" t="n">
        <f aca="false">(( -A74 - (-0.25) ) * SIN(RADIANS($F$1)) + (B74 - 0) * COS(RADIANS($F$1)) - 0.25 * SIN(RADIANS($F$1))) * $E$1 + ($G$1 * TAN(RADIANS($I$1)))</f>
        <v>43.0013385867384</v>
      </c>
      <c r="E74" s="22" t="n">
        <f aca="false">(( -A74 - (-0.25) ) * COS(RADIANS($F$1)) - (B74 - 0) * SIN(RADIANS($F$1)) + (-0.25)) * $E$1 - ($G$1 * TAN(RADIANS($H$1)))</f>
        <v>-305.120410887038</v>
      </c>
    </row>
    <row r="75" customFormat="false" ht="18" hidden="false" customHeight="true" outlineLevel="0" collapsed="false">
      <c r="A75" s="19" t="n">
        <v>0.93064</v>
      </c>
      <c r="B75" s="19" t="n">
        <v>0.02434</v>
      </c>
      <c r="C75" s="20" t="n">
        <f aca="false">$G$1</f>
        <v>518</v>
      </c>
      <c r="D75" s="20" t="n">
        <f aca="false">(( -A75 - (-0.25) ) * SIN(RADIANS($F$1)) + (B75 - 0) * COS(RADIANS($F$1)) - 0.25 * SIN(RADIANS($F$1))) * $E$1 + ($G$1 * TAN(RADIANS($I$1)))</f>
        <v>41.6985885867384</v>
      </c>
      <c r="E75" s="20" t="n">
        <f aca="false">(( -A75 - (-0.25) ) * COS(RADIANS($F$1)) - (B75 - 0) * SIN(RADIANS($F$1)) + (-0.25)) * $E$1 - ($G$1 * TAN(RADIANS($H$1)))</f>
        <v>-310.270660887038</v>
      </c>
    </row>
    <row r="76" customFormat="false" ht="18" hidden="false" customHeight="true" outlineLevel="0" collapsed="false">
      <c r="A76" s="21" t="n">
        <v>0.95044</v>
      </c>
      <c r="B76" s="21" t="n">
        <v>0.01851</v>
      </c>
      <c r="C76" s="22" t="n">
        <f aca="false">$G$1</f>
        <v>518</v>
      </c>
      <c r="D76" s="22" t="n">
        <f aca="false">(( -A76 - (-0.25) ) * SIN(RADIANS($F$1)) + (B76 - 0) * COS(RADIANS($F$1)) - 0.25 * SIN(RADIANS($F$1))) * $E$1 + ($G$1 * TAN(RADIANS($I$1)))</f>
        <v>40.3868385867384</v>
      </c>
      <c r="E76" s="22" t="n">
        <f aca="false">(( -A76 - (-0.25) ) * COS(RADIANS($F$1)) - (B76 - 0) * SIN(RADIANS($F$1)) + (-0.25)) * $E$1 - ($G$1 * TAN(RADIANS($H$1)))</f>
        <v>-314.725660887038</v>
      </c>
    </row>
    <row r="77" customFormat="false" ht="18" hidden="false" customHeight="true" outlineLevel="0" collapsed="false">
      <c r="A77" s="19" t="n">
        <v>0.96698</v>
      </c>
      <c r="B77" s="19" t="n">
        <v>0.0129</v>
      </c>
      <c r="C77" s="20" t="n">
        <f aca="false">$G$1</f>
        <v>518</v>
      </c>
      <c r="D77" s="20" t="n">
        <f aca="false">(( -A77 - (-0.25) ) * SIN(RADIANS($F$1)) + (B77 - 0) * COS(RADIANS($F$1)) - 0.25 * SIN(RADIANS($F$1))) * $E$1 + ($G$1 * TAN(RADIANS($I$1)))</f>
        <v>39.1245885867384</v>
      </c>
      <c r="E77" s="20" t="n">
        <f aca="false">(( -A77 - (-0.25) ) * COS(RADIANS($F$1)) - (B77 - 0) * SIN(RADIANS($F$1)) + (-0.25)) * $E$1 - ($G$1 * TAN(RADIANS($H$1)))</f>
        <v>-318.447160887038</v>
      </c>
    </row>
    <row r="78" customFormat="false" ht="18" hidden="false" customHeight="true" outlineLevel="0" collapsed="false">
      <c r="A78" s="21" t="n">
        <v>0.98037</v>
      </c>
      <c r="B78" s="21" t="n">
        <v>0.00756</v>
      </c>
      <c r="C78" s="22" t="n">
        <f aca="false">$G$1</f>
        <v>518</v>
      </c>
      <c r="D78" s="22" t="n">
        <f aca="false">(( -A78 - (-0.25) ) * SIN(RADIANS($F$1)) + (B78 - 0) * COS(RADIANS($F$1)) - 0.25 * SIN(RADIANS($F$1))) * $E$1 + ($G$1 * TAN(RADIANS($I$1)))</f>
        <v>37.9230885867384</v>
      </c>
      <c r="E78" s="22" t="n">
        <f aca="false">(( -A78 - (-0.25) ) * COS(RADIANS($F$1)) - (B78 - 0) * SIN(RADIANS($F$1)) + (-0.25)) * $E$1 - ($G$1 * TAN(RADIANS($H$1)))</f>
        <v>-321.459910887038</v>
      </c>
    </row>
    <row r="79" customFormat="false" ht="18" hidden="false" customHeight="true" outlineLevel="0" collapsed="false">
      <c r="A79" s="19" t="n">
        <v>0.9907</v>
      </c>
      <c r="B79" s="19" t="n">
        <v>0.00319</v>
      </c>
      <c r="C79" s="20" t="n">
        <f aca="false">$G$1</f>
        <v>518</v>
      </c>
      <c r="D79" s="20" t="n">
        <f aca="false">(( -A79 - (-0.25) ) * SIN(RADIANS($F$1)) + (B79 - 0) * COS(RADIANS($F$1)) - 0.25 * SIN(RADIANS($F$1))) * $E$1 + ($G$1 * TAN(RADIANS($I$1)))</f>
        <v>36.9398385867384</v>
      </c>
      <c r="E79" s="20" t="n">
        <f aca="false">(( -A79 - (-0.25) ) * COS(RADIANS($F$1)) - (B79 - 0) * SIN(RADIANS($F$1)) + (-0.25)) * $E$1 - ($G$1 * TAN(RADIANS($H$1)))</f>
        <v>-323.784160887038</v>
      </c>
    </row>
    <row r="80" customFormat="false" ht="18" hidden="false" customHeight="true" outlineLevel="0" collapsed="false">
      <c r="A80" s="21" t="n">
        <v>0.99754</v>
      </c>
      <c r="B80" s="21" t="n">
        <v>0.00068</v>
      </c>
      <c r="C80" s="22" t="n">
        <f aca="false">$G$1</f>
        <v>518</v>
      </c>
      <c r="D80" s="22" t="n">
        <f aca="false">(( -A80 - (-0.25) ) * SIN(RADIANS($F$1)) + (B80 - 0) * COS(RADIANS($F$1)) - 0.25 * SIN(RADIANS($F$1))) * $E$1 + ($G$1 * TAN(RADIANS($I$1)))</f>
        <v>36.3750885867384</v>
      </c>
      <c r="E80" s="22" t="n">
        <f aca="false">(( -A80 - (-0.25) ) * COS(RADIANS($F$1)) - (B80 - 0) * SIN(RADIANS($F$1)) + (-0.25)) * $E$1 - ($G$1 * TAN(RADIANS($H$1)))</f>
        <v>-325.323160887038</v>
      </c>
    </row>
    <row r="81" customFormat="false" ht="18" hidden="false" customHeight="true" outlineLevel="0" collapsed="false">
      <c r="A81" s="19" t="n">
        <v>1</v>
      </c>
      <c r="B81" s="19" t="n">
        <v>0</v>
      </c>
      <c r="C81" s="20" t="n">
        <f aca="false">$G$1</f>
        <v>518</v>
      </c>
      <c r="D81" s="20" t="n">
        <f aca="false">(( -A81 - (-0.25) ) * SIN(RADIANS($F$1)) + (B81 - 0) * COS(RADIANS($F$1)) - 0.25 * SIN(RADIANS($F$1))) * $E$1 + ($G$1 * TAN(RADIANS($I$1)))</f>
        <v>36.2220885867384</v>
      </c>
      <c r="E81" s="20" t="n">
        <f aca="false">(( -A81 - (-0.25) ) * COS(RADIANS($F$1)) - (B81 - 0) * SIN(RADIANS($F$1)) + (-0.25)) * $E$1 - ($G$1 * TAN(RADIANS($H$1)))</f>
        <v>-325.876660887038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2026-07-07T04:45:05Z</dcterms:created>
  <dc:creator>openpyxl</dc:creator>
  <dc:description/>
  <dc:language>en-US</dc:language>
  <cp:lastModifiedBy/>
  <dcterms:modified xsi:type="dcterms:W3CDTF">2026-07-29T04:30:58Z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