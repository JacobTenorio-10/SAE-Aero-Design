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trol_Panel" sheetId="1" state="visible" r:id="rId1"/>
    <sheet xmlns:r="http://schemas.openxmlformats.org/officeDocument/2006/relationships" name="Root_Airfoil_XYZ" sheetId="2" state="visible" r:id="rId2"/>
    <sheet xmlns:r="http://schemas.openxmlformats.org/officeDocument/2006/relationships" name="Tip_Airfoil_XYZ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E6251"/>
      <sz val="10"/>
    </font>
    <font>
      <name val="Arial"/>
      <family val="2"/>
      <sz val="10"/>
    </font>
    <font>
      <name val="Segoe UI"/>
      <charset val="1"/>
      <family val="0"/>
      <b val="1"/>
      <color rgb="FF555555"/>
      <sz val="9"/>
    </font>
    <font>
      <name val="Segoe UI"/>
      <charset val="1"/>
      <family val="0"/>
      <b val="1"/>
      <color rgb="FF1B365D"/>
      <sz val="10"/>
    </font>
    <font>
      <name val="Segoe UI"/>
      <charset val="1"/>
      <family val="0"/>
      <i val="1"/>
      <color rgb="FF555555"/>
      <sz val="9"/>
    </font>
  </fonts>
  <fills count="10">
    <fill>
      <patternFill/>
    </fill>
    <fill>
      <patternFill patternType="gray125"/>
    </fill>
    <fill>
      <patternFill patternType="solid">
        <fgColor rgb="FF1B365D"/>
        <bgColor rgb="FF333333"/>
      </patternFill>
    </fill>
    <fill>
      <patternFill patternType="solid">
        <fgColor rgb="FF2C5270"/>
        <bgColor rgb="FF0E6251"/>
      </patternFill>
    </fill>
    <fill>
      <patternFill patternType="solid">
        <fgColor rgb="FF4A708B"/>
        <bgColor rgb="FF555555"/>
      </patternFill>
    </fill>
    <fill>
      <patternFill patternType="solid">
        <fgColor rgb="FFEAF2F8"/>
        <bgColor rgb="FFF2F4F4"/>
      </patternFill>
    </fill>
    <fill>
      <patternFill patternType="solid">
        <fgColor rgb="FFEAFAF1"/>
        <bgColor rgb="FFF2F4F4"/>
      </patternFill>
    </fill>
    <fill>
      <patternFill patternType="solid">
        <fgColor rgb="FFF2F4F4"/>
        <bgColor rgb="FFEAF2F8"/>
      </patternFill>
    </fill>
    <fill>
      <patternFill patternType="solid">
        <fgColor rgb="FFEAECEE"/>
        <bgColor rgb="FFEAF2F8"/>
      </patternFill>
    </fill>
    <fill>
      <patternFill patternType="solid">
        <fgColor rgb="FFF7F9FA"/>
        <bgColor rgb="FFF2F4F4"/>
      </patternFill>
    </fill>
  </fills>
  <borders count="2">
    <border>
      <left/>
      <right/>
      <top/>
      <bottom/>
      <diagonal/>
    </border>
    <border>
      <left style="thin">
        <color rgb="FFD1DBE0"/>
      </left>
      <right style="thin">
        <color rgb="FFD1DBE0"/>
      </right>
      <top style="thin">
        <color rgb="FFD1DBE0"/>
      </top>
      <bottom style="thin">
        <color rgb="FFD1DB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4" fontId="8" fillId="8" borderId="1" applyAlignment="1" pivotButton="0" quotePrefix="0" xfId="0">
      <alignment horizontal="right" vertical="center"/>
    </xf>
    <xf numFmtId="2" fontId="8" fillId="8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4" fontId="8" fillId="8" borderId="1" applyAlignment="1" pivotButton="0" quotePrefix="0" xfId="0">
      <alignment horizontal="right" vertical="center"/>
    </xf>
    <xf numFmtId="2" fontId="8" fillId="8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251"/>
      <rgbColor rgb="FFC0C0C0"/>
      <rgbColor rgb="FF808080"/>
      <rgbColor rgb="FF9999FF"/>
      <rgbColor rgb="FF993366"/>
      <rgbColor rgb="FFF7F9FA"/>
      <rgbColor rgb="FFEAFAF1"/>
      <rgbColor rgb="FF660066"/>
      <rgbColor rgb="FFFF8080"/>
      <rgbColor rgb="FF0066CC"/>
      <rgbColor rgb="FFD1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AECEE"/>
      <rgbColor rgb="FFF2F4F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08B"/>
      <rgbColor rgb="FF969696"/>
      <rgbColor rgb="FF1B365D"/>
      <rgbColor rgb="FF339966"/>
      <rgbColor rgb="FF003300"/>
      <rgbColor rgb="FF555555"/>
      <rgbColor rgb="FF993300"/>
      <rgbColor rgb="FF993366"/>
      <rgbColor rgb="FF2C5270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C15" authorId="0" shapeId="0">
      <text>
        <t>b_semi is an ABSOLUTE input in skeleton_equations_micro.txt (main lifting-panel semi-span, 518 mm). It is deliberately NOT b/2: b/2 = 575 = 518 panel + 57 mm vertical winglet tip, modelled downstream. Formula "=C5/2" replaced with the literal. Source: user, skeleton_equations_micro.txt.</t>
      </text>
    </comment>
    <comment ref="C16" authorId="0" shapeId="0">
      <text>
        <t>Was "=(C6+C7)*C15", which equals S_w only while C15 = b/2. C15 is now the absolutised 518, so this uses the canonical definition S_w = (c_root + c_tip)/2 * b to stay consistent with skeleton_equations_micro.txt.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23" min="1" max="1"/>
    <col width="20" customWidth="1" style="23" min="2" max="2"/>
    <col width="18" customWidth="1" style="23" min="3" max="3"/>
    <col width="12" customWidth="1" style="23" min="4" max="4"/>
    <col width="40" customWidth="1" style="23" min="5" max="5"/>
    <col width="30" customWidth="1" style="23" min="6" max="6"/>
  </cols>
  <sheetData>
    <row r="1" ht="39.75" customHeight="1" s="24">
      <c r="A1" s="25" t="inlineStr">
        <is>
          <t>AIRCRAFT PLANFORM GEOMETRY &amp; TRANSFORMATION ENGINE — SAE MICRO 2026</t>
        </is>
      </c>
    </row>
    <row r="3" ht="24" customHeight="1" s="24">
      <c r="A3" s="26" t="inlineStr">
        <is>
          <t>1. GLOBAL DESIGN CONFIGURATION PANEL (INPUT VARIABLES)</t>
        </is>
      </c>
    </row>
    <row r="4" ht="19.5" customHeight="1" s="24">
      <c r="A4" s="27" t="inlineStr">
        <is>
          <t>Parameter Name</t>
        </is>
      </c>
      <c r="B4" s="27" t="inlineStr">
        <is>
          <t>Symbol</t>
        </is>
      </c>
      <c r="C4" s="27" t="inlineStr">
        <is>
          <t>Value</t>
        </is>
      </c>
      <c r="D4" s="27" t="inlineStr">
        <is>
          <t>Units</t>
        </is>
      </c>
      <c r="E4" s="27" t="inlineStr">
        <is>
          <t>SolidWorks Mapping / Scope</t>
        </is>
      </c>
      <c r="F4" s="27" t="inlineStr">
        <is>
          <t>Configuration Status</t>
        </is>
      </c>
    </row>
    <row r="5" ht="18.75" customHeight="1" s="24">
      <c r="A5" s="28" t="inlineStr">
        <is>
          <t>Total Wingspan</t>
        </is>
      </c>
      <c r="B5" s="29" t="inlineStr">
        <is>
          <t>b</t>
        </is>
      </c>
      <c r="C5" s="30" t="n">
        <v>1150</v>
      </c>
      <c r="D5" s="29" t="inlineStr">
        <is>
          <t>mm</t>
        </is>
      </c>
      <c r="E5" s="28" t="inlineStr">
        <is>
          <t>Total aircraft wingspan. Sizing penalty driver (minimize).</t>
        </is>
      </c>
      <c r="F5" s="28" t="inlineStr">
        <is>
          <t>Baseline Optimization</t>
        </is>
      </c>
    </row>
    <row r="6" ht="18.75" customHeight="1" s="24">
      <c r="A6" s="28" t="inlineStr">
        <is>
          <t>Root Chord length</t>
        </is>
      </c>
      <c r="B6" s="29" t="inlineStr">
        <is>
          <t>c_root</t>
        </is>
      </c>
      <c r="C6" s="30" t="n">
        <v>225</v>
      </c>
      <c r="D6" s="29" t="inlineStr">
        <is>
          <t>mm</t>
        </is>
      </c>
      <c r="E6" s="28" t="inlineStr">
        <is>
          <t>Wing root chord length. Core airfoil geometry baseline.</t>
        </is>
      </c>
      <c r="F6" s="28" t="inlineStr">
        <is>
          <t>Core Airfoil Ref</t>
        </is>
      </c>
    </row>
    <row r="7" ht="18.75" customHeight="1" s="24">
      <c r="A7" s="28" t="inlineStr">
        <is>
          <t>Tip Chord length</t>
        </is>
      </c>
      <c r="B7" s="29" t="inlineStr">
        <is>
          <t>c_tip</t>
        </is>
      </c>
      <c r="C7" s="30" t="n">
        <v>225</v>
      </c>
      <c r="D7" s="29" t="inlineStr">
        <is>
          <t>mm</t>
        </is>
      </c>
      <c r="E7" s="28" t="inlineStr">
        <is>
          <t>Wing tip chord length. Drives planform taper ratio.</t>
        </is>
      </c>
      <c r="F7" s="28" t="inlineStr">
        <is>
          <t>Taper Reference</t>
        </is>
      </c>
    </row>
    <row r="8" ht="18.75" customHeight="1" s="24">
      <c r="A8" s="28" t="inlineStr">
        <is>
          <t>Wing Incidence Angle</t>
        </is>
      </c>
      <c r="B8" s="29" t="inlineStr">
        <is>
          <t>i_wing</t>
        </is>
      </c>
      <c r="C8" s="31" t="n">
        <v>0</v>
      </c>
      <c r="D8" s="29" t="inlineStr">
        <is>
          <t>deg</t>
        </is>
      </c>
      <c r="E8" s="28" t="inlineStr">
        <is>
          <t>Wing mounting incidence angle at root chord axis.</t>
        </is>
      </c>
      <c r="F8" s="28" t="inlineStr">
        <is>
          <t>Rigid Angle Axis</t>
        </is>
      </c>
    </row>
    <row r="9" ht="18.75" customHeight="1" s="24">
      <c r="A9" s="28" t="inlineStr">
        <is>
          <t>Tip Aerodynamic Twist</t>
        </is>
      </c>
      <c r="B9" s="29" t="inlineStr">
        <is>
          <t>twist_tip</t>
        </is>
      </c>
      <c r="C9" s="31" t="n">
        <v>0</v>
      </c>
      <c r="D9" s="29" t="inlineStr">
        <is>
          <t>deg</t>
        </is>
      </c>
      <c r="E9" s="28" t="inlineStr">
        <is>
          <t>Tip aerodynamic twist angle relative to root (washout).</t>
        </is>
      </c>
      <c r="F9" s="28" t="inlineStr">
        <is>
          <t>Washout Net Offset</t>
        </is>
      </c>
    </row>
    <row r="10" ht="18.75" customHeight="1" s="24">
      <c r="A10" s="28" t="inlineStr">
        <is>
          <t>Leading Edge Sweep Angle</t>
        </is>
      </c>
      <c r="B10" s="29" t="inlineStr">
        <is>
          <t>sweep_LE</t>
        </is>
      </c>
      <c r="C10" s="31" t="n">
        <v>12.2004687</v>
      </c>
      <c r="D10" s="29" t="inlineStr">
        <is>
          <t>deg</t>
        </is>
      </c>
      <c r="E10" s="28" t="inlineStr">
        <is>
          <t>Wing leading edge sweep angle (0 for straight wing).</t>
        </is>
      </c>
      <c r="F10" s="28" t="inlineStr">
        <is>
          <t>Straight panel baseline</t>
        </is>
      </c>
    </row>
    <row r="11" ht="18.75" customHeight="1" s="24">
      <c r="A11" s="28" t="inlineStr">
        <is>
          <t>Dihedral Angle</t>
        </is>
      </c>
      <c r="B11" s="29" t="inlineStr">
        <is>
          <t>dihedral</t>
        </is>
      </c>
      <c r="C11" s="31" t="n">
        <v>4</v>
      </c>
      <c r="D11" s="29" t="inlineStr">
        <is>
          <t>deg</t>
        </is>
      </c>
      <c r="E11" s="28" t="inlineStr">
        <is>
          <t>Wing dihedral angle for lateral roll stability.</t>
        </is>
      </c>
      <c r="F11" s="28" t="inlineStr">
        <is>
          <t>Lateral Roll Stability</t>
        </is>
      </c>
    </row>
    <row r="13" ht="24" customHeight="1" s="24">
      <c r="A13" s="26" t="inlineStr">
        <is>
          <t>2. DERIVED WING PLANFORM &amp; STEADY-STATE METRICS</t>
        </is>
      </c>
    </row>
    <row r="14" ht="19.5" customHeight="1" s="24">
      <c r="A14" s="27" t="inlineStr">
        <is>
          <t>Metric Name</t>
        </is>
      </c>
      <c r="B14" s="27" t="inlineStr">
        <is>
          <t>Symbol / Formula</t>
        </is>
      </c>
      <c r="C14" s="27" t="inlineStr">
        <is>
          <t>Computed Value</t>
        </is>
      </c>
      <c r="D14" s="27" t="inlineStr">
        <is>
          <t>Units</t>
        </is>
      </c>
      <c r="E14" s="27" t="inlineStr">
        <is>
          <t>Governing Equation / Definition</t>
        </is>
      </c>
      <c r="F14" s="27" t="inlineStr">
        <is>
          <t>SolidWorks Skeleton Role</t>
        </is>
      </c>
    </row>
    <row r="15" ht="18.75" customHeight="1" s="24">
      <c r="A15" s="28" t="inlineStr">
        <is>
          <t>One-Panel Semi-Span</t>
        </is>
      </c>
      <c r="B15" s="29" t="inlineStr">
        <is>
          <t>b_semi</t>
        </is>
      </c>
      <c r="C15" s="32" t="n">
        <v>518</v>
      </c>
      <c r="D15" s="29" t="inlineStr">
        <is>
          <t>mm</t>
        </is>
      </c>
      <c r="E15" s="28" t="inlineStr">
        <is>
          <t>panel semi-span; b/2 less the winglet tip extension</t>
        </is>
      </c>
      <c r="F15" s="28" t="inlineStr">
        <is>
          <t>"b_semi" — Tip Span Fence Post</t>
        </is>
      </c>
    </row>
    <row r="16" ht="18.75" customHeight="1" s="24">
      <c r="A16" s="28" t="inlineStr">
        <is>
          <t>Wing Reference Area</t>
        </is>
      </c>
      <c r="B16" s="29" t="inlineStr">
        <is>
          <t>S_w</t>
        </is>
      </c>
      <c r="C16" s="33">
        <f>(C6+C7)/2*C5</f>
        <v/>
      </c>
      <c r="D16" s="29" t="inlineStr">
        <is>
          <t>mm²</t>
        </is>
      </c>
      <c r="E16" s="28" t="inlineStr">
        <is>
          <t>(c_root + c_tip) / 2 * b</t>
        </is>
      </c>
      <c r="F16" s="28" t="inlineStr">
        <is>
          <t>"S_w" — Total Wing Area Target</t>
        </is>
      </c>
    </row>
    <row r="17" ht="18.75" customHeight="1" s="24">
      <c r="A17" s="28" t="inlineStr">
        <is>
          <t>Wing Reference Area (dm²)</t>
        </is>
      </c>
      <c r="B17" s="29" t="inlineStr">
        <is>
          <t>S_w_dm2</t>
        </is>
      </c>
      <c r="C17" s="33">
        <f>C16/10000</f>
        <v/>
      </c>
      <c r="D17" s="29" t="inlineStr">
        <is>
          <t>dm²</t>
        </is>
      </c>
      <c r="E17" s="28" t="inlineStr">
        <is>
          <t>S_w / 10,000</t>
        </is>
      </c>
      <c r="F17" s="28" t="inlineStr">
        <is>
          <t>Wing Loading Reference Base</t>
        </is>
      </c>
    </row>
    <row r="18" ht="18.75" customHeight="1" s="24">
      <c r="A18" s="28" t="inlineStr">
        <is>
          <t>Wing Aspect Ratio</t>
        </is>
      </c>
      <c r="B18" s="29" t="inlineStr">
        <is>
          <t>AR</t>
        </is>
      </c>
      <c r="C18" s="34">
        <f>C5^2/C16</f>
        <v/>
      </c>
      <c r="D18" s="29" t="inlineStr">
        <is>
          <t>-</t>
        </is>
      </c>
      <c r="E18" s="28" t="inlineStr">
        <is>
          <t>b² / S_w</t>
        </is>
      </c>
      <c r="F18" s="28" t="inlineStr">
        <is>
          <t>"AR" — Induced Drag Efficiency</t>
        </is>
      </c>
    </row>
    <row r="19" ht="18.75" customHeight="1" s="24">
      <c r="A19" s="28" t="inlineStr">
        <is>
          <t>Planform Taper Ratio</t>
        </is>
      </c>
      <c r="B19" s="29" t="inlineStr">
        <is>
          <t>taper</t>
        </is>
      </c>
      <c r="C19" s="34">
        <f>C7/C6</f>
        <v/>
      </c>
      <c r="D19" s="29" t="inlineStr">
        <is>
          <t>-</t>
        </is>
      </c>
      <c r="E19" s="28" t="inlineStr">
        <is>
          <t>c_tip / c_root</t>
        </is>
      </c>
      <c r="F19" s="28" t="inlineStr">
        <is>
          <t>"taper" — Taper Ratio Check (1.00)</t>
        </is>
      </c>
    </row>
    <row r="20" ht="18.75" customHeight="1" s="24">
      <c r="A20" s="28" t="inlineStr">
        <is>
          <t>Mean Aerodynamic Chord</t>
        </is>
      </c>
      <c r="B20" s="29" t="inlineStr">
        <is>
          <t>MAC</t>
        </is>
      </c>
      <c r="C20" s="33">
        <f>(2/3)*C6*(1+C19+C19^2)/(1+C19)</f>
        <v/>
      </c>
      <c r="D20" s="29" t="inlineStr">
        <is>
          <t>mm</t>
        </is>
      </c>
      <c r="E20" s="28" t="inlineStr">
        <is>
          <t>2/3 * c_root * (1+λ+λ²) / (1+λ)</t>
        </is>
      </c>
      <c r="F20" s="28" t="inlineStr">
        <is>
          <t>"MAC" — Pitch Stability Datum</t>
        </is>
      </c>
    </row>
    <row r="21" ht="18.75" customHeight="1" s="24">
      <c r="A21" s="28" t="inlineStr">
        <is>
          <t>Spanwise MAC Location</t>
        </is>
      </c>
      <c r="B21" s="29" t="inlineStr">
        <is>
          <t>y_MAC</t>
        </is>
      </c>
      <c r="C21" s="33">
        <f>(C5/6)*(1+2*C19)/(1+C19)</f>
        <v/>
      </c>
      <c r="D21" s="29" t="inlineStr">
        <is>
          <t>mm</t>
        </is>
      </c>
      <c r="E21" s="28" t="inlineStr">
        <is>
          <t>b/6 * (1+2λ) / (1+λ)</t>
        </is>
      </c>
      <c r="F21" s="28" t="inlineStr">
        <is>
          <t>"y_MAC" — Center of Pressure Station</t>
        </is>
      </c>
    </row>
    <row r="22" ht="18.75" customHeight="1" s="24">
      <c r="A22" s="28" t="inlineStr">
        <is>
          <t>Effective Root Pitch Angle</t>
        </is>
      </c>
      <c r="B22" s="29" t="inlineStr">
        <is>
          <t>alpha_root</t>
        </is>
      </c>
      <c r="C22" s="32">
        <f>C8</f>
        <v/>
      </c>
      <c r="D22" s="29" t="inlineStr">
        <is>
          <t>deg</t>
        </is>
      </c>
      <c r="E22" s="28" t="inlineStr">
        <is>
          <t>i_wing</t>
        </is>
      </c>
      <c r="F22" s="28" t="inlineStr">
        <is>
          <t>Root Profile 3D Rotation Driver</t>
        </is>
      </c>
    </row>
    <row r="23" ht="18.75" customHeight="1" s="24">
      <c r="A23" s="28" t="inlineStr">
        <is>
          <t>Effective Tip Pitch Angle</t>
        </is>
      </c>
      <c r="B23" s="29" t="inlineStr">
        <is>
          <t>alpha_tip</t>
        </is>
      </c>
      <c r="C23" s="32">
        <f>C8-C9</f>
        <v/>
      </c>
      <c r="D23" s="29" t="inlineStr">
        <is>
          <t>deg</t>
        </is>
      </c>
      <c r="E23" s="28" t="inlineStr">
        <is>
          <t>i_wing - twist_tip</t>
        </is>
      </c>
      <c r="F23" s="28" t="inlineStr">
        <is>
          <t>Tip Profile 3D Washout Driver</t>
        </is>
      </c>
    </row>
    <row r="25" ht="24" customHeight="1" s="24">
      <c r="A25" s="26" t="inlineStr">
        <is>
          <t>3. SAFETY ENVELOPE &amp; GROUND CLEARANCE COMPLIANCE TRACKING</t>
        </is>
      </c>
    </row>
    <row r="26" ht="19.5" customHeight="1" s="24">
      <c r="A26" s="27" t="inlineStr">
        <is>
          <t>Compliance Parameter</t>
        </is>
      </c>
      <c r="B26" s="27" t="inlineStr">
        <is>
          <t>Symbol</t>
        </is>
      </c>
      <c r="C26" s="27" t="inlineStr">
        <is>
          <t>Value</t>
        </is>
      </c>
      <c r="D26" s="27" t="inlineStr">
        <is>
          <t>Units</t>
        </is>
      </c>
      <c r="E26" s="27" t="inlineStr">
        <is>
          <t>Mathematical Condition / Definition</t>
        </is>
      </c>
      <c r="F26" s="27" t="inlineStr">
        <is>
          <t>Rule Verification Status</t>
        </is>
      </c>
    </row>
    <row r="27" ht="18.75" customHeight="1" s="24">
      <c r="A27" s="28" t="inlineStr">
        <is>
          <t>Thrust Centerline Height</t>
        </is>
      </c>
      <c r="B27" s="29" t="inlineStr">
        <is>
          <t>h_thrust</t>
        </is>
      </c>
      <c r="C27" s="31" t="n">
        <v>160</v>
      </c>
      <c r="D27" s="29" t="inlineStr">
        <is>
          <t>mm</t>
        </is>
      </c>
      <c r="E27" s="28" t="inlineStr">
        <is>
          <t>Master Propulsion Height Above Runway</t>
        </is>
      </c>
      <c r="F27" s="28" t="inlineStr">
        <is>
          <t>Validated Centerline Baseline</t>
        </is>
      </c>
    </row>
    <row r="28" ht="18.75" customHeight="1" s="24">
      <c r="A28" s="28" t="inlineStr">
        <is>
          <t>Propeller Total Diameter</t>
        </is>
      </c>
      <c r="B28" s="29" t="inlineStr">
        <is>
          <t>D_prop</t>
        </is>
      </c>
      <c r="C28" s="31" t="n">
        <v>280</v>
      </c>
      <c r="D28" s="29" t="inlineStr">
        <is>
          <t>mm</t>
        </is>
      </c>
      <c r="E28" s="28" t="inlineStr">
        <is>
          <t>280 mm prop diameter (≈ 11 in), matches skeleton D_prop</t>
        </is>
      </c>
      <c r="F28" s="28" t="inlineStr">
        <is>
          <t>Approved Prop Envelope Check</t>
        </is>
      </c>
    </row>
    <row r="29" ht="18.75" customHeight="1" s="24">
      <c r="A29" s="28" t="inlineStr">
        <is>
          <t>Propeller-to-Ground Tip Gap</t>
        </is>
      </c>
      <c r="B29" s="29" t="inlineStr">
        <is>
          <t>prop_clear</t>
        </is>
      </c>
      <c r="C29" s="32">
        <f>C27-C28/2</f>
        <v/>
      </c>
      <c r="D29" s="29" t="inlineStr">
        <is>
          <t>mm</t>
        </is>
      </c>
      <c r="E29" s="28" t="inlineStr">
        <is>
          <t>h_thrust - D_prop / 2</t>
        </is>
      </c>
      <c r="F29" s="35">
        <f>IF(C29&gt;=20,"COMPLIANT (&gt;=20mm)","CRITICAL INTERFERENCE")</f>
        <v/>
      </c>
    </row>
    <row r="30" ht="18.75" customHeight="1" s="24">
      <c r="A30" s="28" t="inlineStr">
        <is>
          <t>Volunteer Safety Keep-out</t>
        </is>
      </c>
      <c r="B30" s="29" t="inlineStr">
        <is>
          <t>keepout</t>
        </is>
      </c>
      <c r="C30" s="32" t="n">
        <v>228.6</v>
      </c>
      <c r="D30" s="29" t="inlineStr">
        <is>
          <t>mm</t>
        </is>
      </c>
      <c r="E30" s="28" t="inlineStr">
        <is>
          <t>9.00 Inch Longitudinal Access Buffer</t>
        </is>
      </c>
      <c r="F30" s="35">
        <f>IF(C30&gt;=228.6,"COMPLIANT","BUFFER DEFICIT")</f>
        <v/>
      </c>
    </row>
  </sheetData>
  <mergeCells count="4">
    <mergeCell ref="A3:F3"/>
    <mergeCell ref="A13:F13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3" min="1" max="1"/>
    <col width="14" customWidth="1" style="23" min="2" max="2"/>
    <col width="19" customWidth="1" style="23" min="3" max="3"/>
    <col width="116" customWidth="1" style="23" min="4" max="4"/>
    <col width="126" customWidth="1" style="23" min="5" max="5"/>
    <col width="24" customWidth="1" style="23" min="6" max="6"/>
    <col width="25" customWidth="1" style="23" min="7" max="7"/>
    <col width="24" customWidth="1" style="23" min="8" max="9"/>
  </cols>
  <sheetData>
    <row r="1" ht="25.5" customHeight="1" s="24">
      <c r="A1" s="36" t="inlineStr">
        <is>
          <t>AIRFOIL PROFILE:</t>
        </is>
      </c>
      <c r="B1" s="37" t="inlineStr">
        <is>
          <t>FX74CL5140</t>
        </is>
      </c>
      <c r="C1" s="38" t="inlineStr">
        <is>
          <t>STATION CONFIG:</t>
        </is>
      </c>
      <c r="D1" s="36" t="inlineStr">
        <is>
          <t>Root Chord Parameters (E1-I1) -&gt;</t>
        </is>
      </c>
      <c r="E1" s="39">
        <f>Control_Panel!$C$6</f>
        <v/>
      </c>
      <c r="F1" s="40">
        <f>Control_Panel!$C$22</f>
        <v/>
      </c>
      <c r="G1" s="39" t="n">
        <v>0</v>
      </c>
      <c r="H1" s="40">
        <f>Control_Panel!$C$10</f>
        <v/>
      </c>
      <c r="I1" s="40">
        <f>Control_Panel!$C$11</f>
        <v/>
      </c>
    </row>
    <row r="2" ht="24" customHeight="1" s="24">
      <c r="A2" s="27" t="inlineStr">
        <is>
          <t>x_norm</t>
        </is>
      </c>
      <c r="B2" s="27" t="inlineStr">
        <is>
          <t>y_norm</t>
        </is>
      </c>
      <c r="C2" s="27" t="inlineStr">
        <is>
          <t>SW_X (Spanwise)</t>
        </is>
      </c>
      <c r="D2" s="27" t="inlineStr">
        <is>
          <t>SW_Y (Vertical)</t>
        </is>
      </c>
      <c r="E2" s="27" t="inlineStr">
        <is>
          <t>SW_Z (Longitudinal)</t>
        </is>
      </c>
      <c r="F2" s="41" t="inlineStr">
        <is>
          <t>(F1) Incidence (deg)</t>
        </is>
      </c>
      <c r="G2" s="41" t="inlineStr">
        <is>
          <t>(G1) Span Offset (mm)</t>
        </is>
      </c>
      <c r="H2" s="41" t="inlineStr">
        <is>
          <t>(H1) LE Sweep (deg)</t>
        </is>
      </c>
      <c r="I2" s="41" t="inlineStr">
        <is>
          <t>(I1) Dihedral (deg)</t>
        </is>
      </c>
    </row>
    <row r="3" ht="18" customHeight="1" s="24">
      <c r="A3" s="42" t="n">
        <v>1</v>
      </c>
      <c r="B3" s="42" t="n">
        <v>0</v>
      </c>
      <c r="C3" s="43">
        <f>$G$1</f>
        <v/>
      </c>
      <c r="D3" s="43">
        <f>(( -A3 - (-0.25) ) * SIN(RADIANS($F$1)) + (B3 - 0) * COS(RADIANS($F$1)) - 0.25 * SIN(RADIANS($F$1))) * $E$1 + ($G$1 * TAN(RADIANS($I$1)))</f>
        <v/>
      </c>
      <c r="E3" s="43">
        <f>(( -A3 - (-0.25) ) * COS(RADIANS($F$1)) - (B3 - 0) * SIN(RADIANS($F$1)) + (-0.25)) * $E$1 - ($G$1 * TAN(RADIANS($H$1)))</f>
        <v/>
      </c>
    </row>
    <row r="4" ht="18" customHeight="1" s="24">
      <c r="A4" s="44" t="n">
        <v>0.99754</v>
      </c>
      <c r="B4" s="44" t="n">
        <v>0.00189</v>
      </c>
      <c r="C4" s="45">
        <f>$G$1</f>
        <v/>
      </c>
      <c r="D4" s="45">
        <f>(( -A4 - (-0.25) ) * SIN(RADIANS($F$1)) + (B4 - 0) * COS(RADIANS($F$1)) - 0.25 * SIN(RADIANS($F$1))) * $E$1 + ($G$1 * TAN(RADIANS($I$1)))</f>
        <v/>
      </c>
      <c r="E4" s="45">
        <f>(( -A4 - (-0.25) ) * COS(RADIANS($F$1)) - (B4 - 0) * SIN(RADIANS($F$1)) + (-0.25)) * $E$1 - ($G$1 * TAN(RADIANS($H$1)))</f>
        <v/>
      </c>
    </row>
    <row r="5" ht="18" customHeight="1" s="24">
      <c r="A5" s="42" t="n">
        <v>0.9907</v>
      </c>
      <c r="B5" s="42" t="n">
        <v>0.00624</v>
      </c>
      <c r="C5" s="43">
        <f>$G$1</f>
        <v/>
      </c>
      <c r="D5" s="43">
        <f>(( -A5 - (-0.25) ) * SIN(RADIANS($F$1)) + (B5 - 0) * COS(RADIANS($F$1)) - 0.25 * SIN(RADIANS($F$1))) * $E$1 + ($G$1 * TAN(RADIANS($I$1)))</f>
        <v/>
      </c>
      <c r="E5" s="43">
        <f>(( -A5 - (-0.25) ) * COS(RADIANS($F$1)) - (B5 - 0) * SIN(RADIANS($F$1)) + (-0.25)) * $E$1 - ($G$1 * TAN(RADIANS($H$1)))</f>
        <v/>
      </c>
    </row>
    <row r="6" ht="18" customHeight="1" s="24">
      <c r="A6" s="44" t="n">
        <v>0.98037</v>
      </c>
      <c r="B6" s="44" t="n">
        <v>0.0115</v>
      </c>
      <c r="C6" s="45">
        <f>$G$1</f>
        <v/>
      </c>
      <c r="D6" s="45">
        <f>(( -A6 - (-0.25) ) * SIN(RADIANS($F$1)) + (B6 - 0) * COS(RADIANS($F$1)) - 0.25 * SIN(RADIANS($F$1))) * $E$1 + ($G$1 * TAN(RADIANS($I$1)))</f>
        <v/>
      </c>
      <c r="E6" s="45">
        <f>(( -A6 - (-0.25) ) * COS(RADIANS($F$1)) - (B6 - 0) * SIN(RADIANS($F$1)) + (-0.25)) * $E$1 - ($G$1 * TAN(RADIANS($H$1)))</f>
        <v/>
      </c>
    </row>
    <row r="7" ht="18" customHeight="1" s="24">
      <c r="A7" s="42" t="n">
        <v>0.96698</v>
      </c>
      <c r="B7" s="42" t="n">
        <v>0.01741</v>
      </c>
      <c r="C7" s="43">
        <f>$G$1</f>
        <v/>
      </c>
      <c r="D7" s="43">
        <f>(( -A7 - (-0.25) ) * SIN(RADIANS($F$1)) + (B7 - 0) * COS(RADIANS($F$1)) - 0.25 * SIN(RADIANS($F$1))) * $E$1 + ($G$1 * TAN(RADIANS($I$1)))</f>
        <v/>
      </c>
      <c r="E7" s="43">
        <f>(( -A7 - (-0.25) ) * COS(RADIANS($F$1)) - (B7 - 0) * SIN(RADIANS($F$1)) + (-0.25)) * $E$1 - ($G$1 * TAN(RADIANS($H$1)))</f>
        <v/>
      </c>
    </row>
    <row r="8" ht="18" customHeight="1" s="24">
      <c r="A8" s="44" t="n">
        <v>0.95044</v>
      </c>
      <c r="B8" s="44" t="n">
        <v>0.02402</v>
      </c>
      <c r="C8" s="45">
        <f>$G$1</f>
        <v/>
      </c>
      <c r="D8" s="45">
        <f>(( -A8 - (-0.25) ) * SIN(RADIANS($F$1)) + (B8 - 0) * COS(RADIANS($F$1)) - 0.25 * SIN(RADIANS($F$1))) * $E$1 + ($G$1 * TAN(RADIANS($I$1)))</f>
        <v/>
      </c>
      <c r="E8" s="45">
        <f>(( -A8 - (-0.25) ) * COS(RADIANS($F$1)) - (B8 - 0) * SIN(RADIANS($F$1)) + (-0.25)) * $E$1 - ($G$1 * TAN(RADIANS($H$1)))</f>
        <v/>
      </c>
    </row>
    <row r="9" ht="18" customHeight="1" s="24">
      <c r="A9" s="42" t="n">
        <v>0.93064</v>
      </c>
      <c r="B9" s="42" t="n">
        <v>0.03188</v>
      </c>
      <c r="C9" s="43">
        <f>$G$1</f>
        <v/>
      </c>
      <c r="D9" s="43">
        <f>(( -A9 - (-0.25) ) * SIN(RADIANS($F$1)) + (B9 - 0) * COS(RADIANS($F$1)) - 0.25 * SIN(RADIANS($F$1))) * $E$1 + ($G$1 * TAN(RADIANS($I$1)))</f>
        <v/>
      </c>
      <c r="E9" s="43">
        <f>(( -A9 - (-0.25) ) * COS(RADIANS($F$1)) - (B9 - 0) * SIN(RADIANS($F$1)) + (-0.25)) * $E$1 - ($G$1 * TAN(RADIANS($H$1)))</f>
        <v/>
      </c>
    </row>
    <row r="10" ht="18" customHeight="1" s="24">
      <c r="A10" s="44" t="n">
        <v>0.9077499999999999</v>
      </c>
      <c r="B10" s="44" t="n">
        <v>0.04001</v>
      </c>
      <c r="C10" s="45">
        <f>$G$1</f>
        <v/>
      </c>
      <c r="D10" s="45">
        <f>(( -A10 - (-0.25) ) * SIN(RADIANS($F$1)) + (B10 - 0) * COS(RADIANS($F$1)) - 0.25 * SIN(RADIANS($F$1))) * $E$1 + ($G$1 * TAN(RADIANS($I$1)))</f>
        <v/>
      </c>
      <c r="E10" s="45">
        <f>(( -A10 - (-0.25) ) * COS(RADIANS($F$1)) - (B10 - 0) * SIN(RADIANS($F$1)) + (-0.25)) * $E$1 - ($G$1 * TAN(RADIANS($H$1)))</f>
        <v/>
      </c>
    </row>
    <row r="11" ht="18" customHeight="1" s="24">
      <c r="A11" s="42" t="n">
        <v>0.88202</v>
      </c>
      <c r="B11" s="42" t="n">
        <v>0.04848</v>
      </c>
      <c r="C11" s="43">
        <f>$G$1</f>
        <v/>
      </c>
      <c r="D11" s="43">
        <f>(( -A11 - (-0.25) ) * SIN(RADIANS($F$1)) + (B11 - 0) * COS(RADIANS($F$1)) - 0.25 * SIN(RADIANS($F$1))) * $E$1 + ($G$1 * TAN(RADIANS($I$1)))</f>
        <v/>
      </c>
      <c r="E11" s="43">
        <f>(( -A11 - (-0.25) ) * COS(RADIANS($F$1)) - (B11 - 0) * SIN(RADIANS($F$1)) + (-0.25)) * $E$1 - ($G$1 * TAN(RADIANS($H$1)))</f>
        <v/>
      </c>
    </row>
    <row r="12" ht="18" customHeight="1" s="24">
      <c r="A12" s="44" t="n">
        <v>0.8537</v>
      </c>
      <c r="B12" s="44" t="n">
        <v>0.05718</v>
      </c>
      <c r="C12" s="45">
        <f>$G$1</f>
        <v/>
      </c>
      <c r="D12" s="45">
        <f>(( -A12 - (-0.25) ) * SIN(RADIANS($F$1)) + (B12 - 0) * COS(RADIANS($F$1)) - 0.25 * SIN(RADIANS($F$1))) * $E$1 + ($G$1 * TAN(RADIANS($I$1)))</f>
        <v/>
      </c>
      <c r="E12" s="45">
        <f>(( -A12 - (-0.25) ) * COS(RADIANS($F$1)) - (B12 - 0) * SIN(RADIANS($F$1)) + (-0.25)) * $E$1 - ($G$1 * TAN(RADIANS($H$1)))</f>
        <v/>
      </c>
    </row>
    <row r="13" ht="18" customHeight="1" s="24">
      <c r="A13" s="42" t="n">
        <v>0.82309</v>
      </c>
      <c r="B13" s="42" t="n">
        <v>0.06616</v>
      </c>
      <c r="C13" s="43">
        <f>$G$1</f>
        <v/>
      </c>
      <c r="D13" s="43">
        <f>(( -A13 - (-0.25) ) * SIN(RADIANS($F$1)) + (B13 - 0) * COS(RADIANS($F$1)) - 0.25 * SIN(RADIANS($F$1))) * $E$1 + ($G$1 * TAN(RADIANS($I$1)))</f>
        <v/>
      </c>
      <c r="E13" s="43">
        <f>(( -A13 - (-0.25) ) * COS(RADIANS($F$1)) - (B13 - 0) * SIN(RADIANS($F$1)) + (-0.25)) * $E$1 - ($G$1 * TAN(RADIANS($H$1)))</f>
        <v/>
      </c>
    </row>
    <row r="14" ht="18" customHeight="1" s="24">
      <c r="A14" s="44" t="n">
        <v>0.79048</v>
      </c>
      <c r="B14" s="44" t="n">
        <v>0.07549</v>
      </c>
      <c r="C14" s="45">
        <f>$G$1</f>
        <v/>
      </c>
      <c r="D14" s="45">
        <f>(( -A14 - (-0.25) ) * SIN(RADIANS($F$1)) + (B14 - 0) * COS(RADIANS($F$1)) - 0.25 * SIN(RADIANS($F$1))) * $E$1 + ($G$1 * TAN(RADIANS($I$1)))</f>
        <v/>
      </c>
      <c r="E14" s="45">
        <f>(( -A14 - (-0.25) ) * COS(RADIANS($F$1)) - (B14 - 0) * SIN(RADIANS($F$1)) + (-0.25)) * $E$1 - ($G$1 * TAN(RADIANS($H$1)))</f>
        <v/>
      </c>
    </row>
    <row r="15" ht="18" customHeight="1" s="24">
      <c r="A15" s="42" t="n">
        <v>0.7561600000000001</v>
      </c>
      <c r="B15" s="42" t="n">
        <v>0.0851</v>
      </c>
      <c r="C15" s="43">
        <f>$G$1</f>
        <v/>
      </c>
      <c r="D15" s="43">
        <f>(( -A15 - (-0.25) ) * SIN(RADIANS($F$1)) + (B15 - 0) * COS(RADIANS($F$1)) - 0.25 * SIN(RADIANS($F$1))) * $E$1 + ($G$1 * TAN(RADIANS($I$1)))</f>
        <v/>
      </c>
      <c r="E15" s="43">
        <f>(( -A15 - (-0.25) ) * COS(RADIANS($F$1)) - (B15 - 0) * SIN(RADIANS($F$1)) + (-0.25)) * $E$1 - ($G$1 * TAN(RADIANS($H$1)))</f>
        <v/>
      </c>
    </row>
    <row r="16" ht="18" customHeight="1" s="24">
      <c r="A16" s="44" t="n">
        <v>0.72043</v>
      </c>
      <c r="B16" s="44" t="n">
        <v>0.09482</v>
      </c>
      <c r="C16" s="45">
        <f>$G$1</f>
        <v/>
      </c>
      <c r="D16" s="45">
        <f>(( -A16 - (-0.25) ) * SIN(RADIANS($F$1)) + (B16 - 0) * COS(RADIANS($F$1)) - 0.25 * SIN(RADIANS($F$1))) * $E$1 + ($G$1 * TAN(RADIANS($I$1)))</f>
        <v/>
      </c>
      <c r="E16" s="45">
        <f>(( -A16 - (-0.25) ) * COS(RADIANS($F$1)) - (B16 - 0) * SIN(RADIANS($F$1)) + (-0.25)) * $E$1 - ($G$1 * TAN(RADIANS($H$1)))</f>
        <v/>
      </c>
    </row>
    <row r="17" ht="18" customHeight="1" s="24">
      <c r="A17" s="42" t="n">
        <v>0.68359</v>
      </c>
      <c r="B17" s="42" t="n">
        <v>0.10446</v>
      </c>
      <c r="C17" s="43">
        <f>$G$1</f>
        <v/>
      </c>
      <c r="D17" s="43">
        <f>(( -A17 - (-0.25) ) * SIN(RADIANS($F$1)) + (B17 - 0) * COS(RADIANS($F$1)) - 0.25 * SIN(RADIANS($F$1))) * $E$1 + ($G$1 * TAN(RADIANS($I$1)))</f>
        <v/>
      </c>
      <c r="E17" s="43">
        <f>(( -A17 - (-0.25) ) * COS(RADIANS($F$1)) - (B17 - 0) * SIN(RADIANS($F$1)) + (-0.25)) * $E$1 - ($G$1 * TAN(RADIANS($H$1)))</f>
        <v/>
      </c>
    </row>
    <row r="18" ht="18" customHeight="1" s="24">
      <c r="A18" s="44" t="n">
        <v>0.64594</v>
      </c>
      <c r="B18" s="44" t="n">
        <v>0.11385</v>
      </c>
      <c r="C18" s="45">
        <f>$G$1</f>
        <v/>
      </c>
      <c r="D18" s="45">
        <f>(( -A18 - (-0.25) ) * SIN(RADIANS($F$1)) + (B18 - 0) * COS(RADIANS($F$1)) - 0.25 * SIN(RADIANS($F$1))) * $E$1 + ($G$1 * TAN(RADIANS($I$1)))</f>
        <v/>
      </c>
      <c r="E18" s="45">
        <f>(( -A18 - (-0.25) ) * COS(RADIANS($F$1)) - (B18 - 0) * SIN(RADIANS($F$1)) + (-0.25)) * $E$1 - ($G$1 * TAN(RADIANS($H$1)))</f>
        <v/>
      </c>
    </row>
    <row r="19" ht="18" customHeight="1" s="24">
      <c r="A19" s="42" t="n">
        <v>0.60778</v>
      </c>
      <c r="B19" s="42" t="n">
        <v>0.12287</v>
      </c>
      <c r="C19" s="43">
        <f>$G$1</f>
        <v/>
      </c>
      <c r="D19" s="43">
        <f>(( -A19 - (-0.25) ) * SIN(RADIANS($F$1)) + (B19 - 0) * COS(RADIANS($F$1)) - 0.25 * SIN(RADIANS($F$1))) * $E$1 + ($G$1 * TAN(RADIANS($I$1)))</f>
        <v/>
      </c>
      <c r="E19" s="43">
        <f>(( -A19 - (-0.25) ) * COS(RADIANS($F$1)) - (B19 - 0) * SIN(RADIANS($F$1)) + (-0.25)) * $E$1 - ($G$1 * TAN(RADIANS($H$1)))</f>
        <v/>
      </c>
    </row>
    <row r="20" ht="18" customHeight="1" s="24">
      <c r="A20" s="44" t="n">
        <v>0.56937</v>
      </c>
      <c r="B20" s="44" t="n">
        <v>0.13137</v>
      </c>
      <c r="C20" s="45">
        <f>$G$1</f>
        <v/>
      </c>
      <c r="D20" s="45">
        <f>(( -A20 - (-0.25) ) * SIN(RADIANS($F$1)) + (B20 - 0) * COS(RADIANS($F$1)) - 0.25 * SIN(RADIANS($F$1))) * $E$1 + ($G$1 * TAN(RADIANS($I$1)))</f>
        <v/>
      </c>
      <c r="E20" s="45">
        <f>(( -A20 - (-0.25) ) * COS(RADIANS($F$1)) - (B20 - 0) * SIN(RADIANS($F$1)) + (-0.25)) * $E$1 - ($G$1 * TAN(RADIANS($H$1)))</f>
        <v/>
      </c>
    </row>
    <row r="21" ht="18" customHeight="1" s="24">
      <c r="A21" s="42" t="n">
        <v>0.53099</v>
      </c>
      <c r="B21" s="42" t="n">
        <v>0.13916</v>
      </c>
      <c r="C21" s="43">
        <f>$G$1</f>
        <v/>
      </c>
      <c r="D21" s="43">
        <f>(( -A21 - (-0.25) ) * SIN(RADIANS($F$1)) + (B21 - 0) * COS(RADIANS($F$1)) - 0.25 * SIN(RADIANS($F$1))) * $E$1 + ($G$1 * TAN(RADIANS($I$1)))</f>
        <v/>
      </c>
      <c r="E21" s="43">
        <f>(( -A21 - (-0.25) ) * COS(RADIANS($F$1)) - (B21 - 0) * SIN(RADIANS($F$1)) + (-0.25)) * $E$1 - ($G$1 * TAN(RADIANS($H$1)))</f>
        <v/>
      </c>
    </row>
    <row r="22" ht="18" customHeight="1" s="24">
      <c r="A22" s="44" t="n">
        <v>0.49265</v>
      </c>
      <c r="B22" s="44" t="n">
        <v>0.14604</v>
      </c>
      <c r="C22" s="45">
        <f>$G$1</f>
        <v/>
      </c>
      <c r="D22" s="45">
        <f>(( -A22 - (-0.25) ) * SIN(RADIANS($F$1)) + (B22 - 0) * COS(RADIANS($F$1)) - 0.25 * SIN(RADIANS($F$1))) * $E$1 + ($G$1 * TAN(RADIANS($I$1)))</f>
        <v/>
      </c>
      <c r="E22" s="45">
        <f>(( -A22 - (-0.25) ) * COS(RADIANS($F$1)) - (B22 - 0) * SIN(RADIANS($F$1)) + (-0.25)) * $E$1 - ($G$1 * TAN(RADIANS($H$1)))</f>
        <v/>
      </c>
    </row>
    <row r="23" ht="18" customHeight="1" s="24">
      <c r="A23" s="42" t="n">
        <v>0.45435</v>
      </c>
      <c r="B23" s="42" t="n">
        <v>0.15177</v>
      </c>
      <c r="C23" s="43">
        <f>$G$1</f>
        <v/>
      </c>
      <c r="D23" s="43">
        <f>(( -A23 - (-0.25) ) * SIN(RADIANS($F$1)) + (B23 - 0) * COS(RADIANS($F$1)) - 0.25 * SIN(RADIANS($F$1))) * $E$1 + ($G$1 * TAN(RADIANS($I$1)))</f>
        <v/>
      </c>
      <c r="E23" s="43">
        <f>(( -A23 - (-0.25) ) * COS(RADIANS($F$1)) - (B23 - 0) * SIN(RADIANS($F$1)) + (-0.25)) * $E$1 - ($G$1 * TAN(RADIANS($H$1)))</f>
        <v/>
      </c>
    </row>
    <row r="24" ht="18" customHeight="1" s="24">
      <c r="A24" s="44" t="n">
        <v>0.41638</v>
      </c>
      <c r="B24" s="44" t="n">
        <v>0.15606</v>
      </c>
      <c r="C24" s="45">
        <f>$G$1</f>
        <v/>
      </c>
      <c r="D24" s="45">
        <f>(( -A24 - (-0.25) ) * SIN(RADIANS($F$1)) + (B24 - 0) * COS(RADIANS($F$1)) - 0.25 * SIN(RADIANS($F$1))) * $E$1 + ($G$1 * TAN(RADIANS($I$1)))</f>
        <v/>
      </c>
      <c r="E24" s="45">
        <f>(( -A24 - (-0.25) ) * COS(RADIANS($F$1)) - (B24 - 0) * SIN(RADIANS($F$1)) + (-0.25)) * $E$1 - ($G$1 * TAN(RADIANS($H$1)))</f>
        <v/>
      </c>
    </row>
    <row r="25" ht="18" customHeight="1" s="24">
      <c r="A25" s="42" t="n">
        <v>0.37887</v>
      </c>
      <c r="B25" s="42" t="n">
        <v>0.15868</v>
      </c>
      <c r="C25" s="43">
        <f>$G$1</f>
        <v/>
      </c>
      <c r="D25" s="43">
        <f>(( -A25 - (-0.25) ) * SIN(RADIANS($F$1)) + (B25 - 0) * COS(RADIANS($F$1)) - 0.25 * SIN(RADIANS($F$1))) * $E$1 + ($G$1 * TAN(RADIANS($I$1)))</f>
        <v/>
      </c>
      <c r="E25" s="43">
        <f>(( -A25 - (-0.25) ) * COS(RADIANS($F$1)) - (B25 - 0) * SIN(RADIANS($F$1)) + (-0.25)) * $E$1 - ($G$1 * TAN(RADIANS($H$1)))</f>
        <v/>
      </c>
    </row>
    <row r="26" ht="18" customHeight="1" s="24">
      <c r="A26" s="44" t="n">
        <v>0.34204</v>
      </c>
      <c r="B26" s="44" t="n">
        <v>0.15944</v>
      </c>
      <c r="C26" s="45">
        <f>$G$1</f>
        <v/>
      </c>
      <c r="D26" s="45">
        <f>(( -A26 - (-0.25) ) * SIN(RADIANS($F$1)) + (B26 - 0) * COS(RADIANS($F$1)) - 0.25 * SIN(RADIANS($F$1))) * $E$1 + ($G$1 * TAN(RADIANS($I$1)))</f>
        <v/>
      </c>
      <c r="E26" s="45">
        <f>(( -A26 - (-0.25) ) * COS(RADIANS($F$1)) - (B26 - 0) * SIN(RADIANS($F$1)) + (-0.25)) * $E$1 - ($G$1 * TAN(RADIANS($H$1)))</f>
        <v/>
      </c>
    </row>
    <row r="27" ht="18" customHeight="1" s="24">
      <c r="A27" s="42" t="n">
        <v>0.30609</v>
      </c>
      <c r="B27" s="42" t="n">
        <v>0.1582</v>
      </c>
      <c r="C27" s="43">
        <f>$G$1</f>
        <v/>
      </c>
      <c r="D27" s="43">
        <f>(( -A27 - (-0.25) ) * SIN(RADIANS($F$1)) + (B27 - 0) * COS(RADIANS($F$1)) - 0.25 * SIN(RADIANS($F$1))) * $E$1 + ($G$1 * TAN(RADIANS($I$1)))</f>
        <v/>
      </c>
      <c r="E27" s="43">
        <f>(( -A27 - (-0.25) ) * COS(RADIANS($F$1)) - (B27 - 0) * SIN(RADIANS($F$1)) + (-0.25)) * $E$1 - ($G$1 * TAN(RADIANS($H$1)))</f>
        <v/>
      </c>
    </row>
    <row r="28" ht="18" customHeight="1" s="24">
      <c r="A28" s="44" t="n">
        <v>0.2712</v>
      </c>
      <c r="B28" s="44" t="n">
        <v>0.15493</v>
      </c>
      <c r="C28" s="45">
        <f>$G$1</f>
        <v/>
      </c>
      <c r="D28" s="45">
        <f>(( -A28 - (-0.25) ) * SIN(RADIANS($F$1)) + (B28 - 0) * COS(RADIANS($F$1)) - 0.25 * SIN(RADIANS($F$1))) * $E$1 + ($G$1 * TAN(RADIANS($I$1)))</f>
        <v/>
      </c>
      <c r="E28" s="45">
        <f>(( -A28 - (-0.25) ) * COS(RADIANS($F$1)) - (B28 - 0) * SIN(RADIANS($F$1)) + (-0.25)) * $E$1 - ($G$1 * TAN(RADIANS($H$1)))</f>
        <v/>
      </c>
    </row>
    <row r="29" ht="18" customHeight="1" s="24">
      <c r="A29" s="42" t="n">
        <v>0.2376</v>
      </c>
      <c r="B29" s="42" t="n">
        <v>0.14964</v>
      </c>
      <c r="C29" s="43">
        <f>$G$1</f>
        <v/>
      </c>
      <c r="D29" s="43">
        <f>(( -A29 - (-0.25) ) * SIN(RADIANS($F$1)) + (B29 - 0) * COS(RADIANS($F$1)) - 0.25 * SIN(RADIANS($F$1))) * $E$1 + ($G$1 * TAN(RADIANS($I$1)))</f>
        <v/>
      </c>
      <c r="E29" s="43">
        <f>(( -A29 - (-0.25) ) * COS(RADIANS($F$1)) - (B29 - 0) * SIN(RADIANS($F$1)) + (-0.25)) * $E$1 - ($G$1 * TAN(RADIANS($H$1)))</f>
        <v/>
      </c>
    </row>
    <row r="30" ht="18" customHeight="1" s="24">
      <c r="A30" s="44" t="n">
        <v>0.20549</v>
      </c>
      <c r="B30" s="44" t="n">
        <v>0.14243</v>
      </c>
      <c r="C30" s="45">
        <f>$G$1</f>
        <v/>
      </c>
      <c r="D30" s="45">
        <f>(( -A30 - (-0.25) ) * SIN(RADIANS($F$1)) + (B30 - 0) * COS(RADIANS($F$1)) - 0.25 * SIN(RADIANS($F$1))) * $E$1 + ($G$1 * TAN(RADIANS($I$1)))</f>
        <v/>
      </c>
      <c r="E30" s="45">
        <f>(( -A30 - (-0.25) ) * COS(RADIANS($F$1)) - (B30 - 0) * SIN(RADIANS($F$1)) + (-0.25)) * $E$1 - ($G$1 * TAN(RADIANS($H$1)))</f>
        <v/>
      </c>
    </row>
    <row r="31" ht="18" customHeight="1" s="24">
      <c r="A31" s="42" t="n">
        <v>0.17504</v>
      </c>
      <c r="B31" s="42" t="n">
        <v>0.13344</v>
      </c>
      <c r="C31" s="43">
        <f>$G$1</f>
        <v/>
      </c>
      <c r="D31" s="43">
        <f>(( -A31 - (-0.25) ) * SIN(RADIANS($F$1)) + (B31 - 0) * COS(RADIANS($F$1)) - 0.25 * SIN(RADIANS($F$1))) * $E$1 + ($G$1 * TAN(RADIANS($I$1)))</f>
        <v/>
      </c>
      <c r="E31" s="43">
        <f>(( -A31 - (-0.25) ) * COS(RADIANS($F$1)) - (B31 - 0) * SIN(RADIANS($F$1)) + (-0.25)) * $E$1 - ($G$1 * TAN(RADIANS($H$1)))</f>
        <v/>
      </c>
    </row>
    <row r="32" ht="18" customHeight="1" s="24">
      <c r="A32" s="44" t="n">
        <v>0.14648</v>
      </c>
      <c r="B32" s="44" t="n">
        <v>0.12292</v>
      </c>
      <c r="C32" s="45">
        <f>$G$1</f>
        <v/>
      </c>
      <c r="D32" s="45">
        <f>(( -A32 - (-0.25) ) * SIN(RADIANS($F$1)) + (B32 - 0) * COS(RADIANS($F$1)) - 0.25 * SIN(RADIANS($F$1))) * $E$1 + ($G$1 * TAN(RADIANS($I$1)))</f>
        <v/>
      </c>
      <c r="E32" s="45">
        <f>(( -A32 - (-0.25) ) * COS(RADIANS($F$1)) - (B32 - 0) * SIN(RADIANS($F$1)) + (-0.25)) * $E$1 - ($G$1 * TAN(RADIANS($H$1)))</f>
        <v/>
      </c>
    </row>
    <row r="33" ht="18" customHeight="1" s="24">
      <c r="A33" s="42" t="n">
        <v>0.11999</v>
      </c>
      <c r="B33" s="42" t="n">
        <v>0.1111</v>
      </c>
      <c r="C33" s="43">
        <f>$G$1</f>
        <v/>
      </c>
      <c r="D33" s="43">
        <f>(( -A33 - (-0.25) ) * SIN(RADIANS($F$1)) + (B33 - 0) * COS(RADIANS($F$1)) - 0.25 * SIN(RADIANS($F$1))) * $E$1 + ($G$1 * TAN(RADIANS($I$1)))</f>
        <v/>
      </c>
      <c r="E33" s="43">
        <f>(( -A33 - (-0.25) ) * COS(RADIANS($F$1)) - (B33 - 0) * SIN(RADIANS($F$1)) + (-0.25)) * $E$1 - ($G$1 * TAN(RADIANS($H$1)))</f>
        <v/>
      </c>
    </row>
    <row r="34" ht="18" customHeight="1" s="24">
      <c r="A34" s="44" t="n">
        <v>0.09576</v>
      </c>
      <c r="B34" s="44" t="n">
        <v>0.09826</v>
      </c>
      <c r="C34" s="45">
        <f>$G$1</f>
        <v/>
      </c>
      <c r="D34" s="45">
        <f>(( -A34 - (-0.25) ) * SIN(RADIANS($F$1)) + (B34 - 0) * COS(RADIANS($F$1)) - 0.25 * SIN(RADIANS($F$1))) * $E$1 + ($G$1 * TAN(RADIANS($I$1)))</f>
        <v/>
      </c>
      <c r="E34" s="45">
        <f>(( -A34 - (-0.25) ) * COS(RADIANS($F$1)) - (B34 - 0) * SIN(RADIANS($F$1)) + (-0.25)) * $E$1 - ($G$1 * TAN(RADIANS($H$1)))</f>
        <v/>
      </c>
    </row>
    <row r="35" ht="18" customHeight="1" s="24">
      <c r="A35" s="42" t="n">
        <v>0.07395</v>
      </c>
      <c r="B35" s="42" t="n">
        <v>0.08459</v>
      </c>
      <c r="C35" s="43">
        <f>$G$1</f>
        <v/>
      </c>
      <c r="D35" s="43">
        <f>(( -A35 - (-0.25) ) * SIN(RADIANS($F$1)) + (B35 - 0) * COS(RADIANS($F$1)) - 0.25 * SIN(RADIANS($F$1))) * $E$1 + ($G$1 * TAN(RADIANS($I$1)))</f>
        <v/>
      </c>
      <c r="E35" s="43">
        <f>(( -A35 - (-0.25) ) * COS(RADIANS($F$1)) - (B35 - 0) * SIN(RADIANS($F$1)) + (-0.25)) * $E$1 - ($G$1 * TAN(RADIANS($H$1)))</f>
        <v/>
      </c>
    </row>
    <row r="36" ht="18" customHeight="1" s="24">
      <c r="A36" s="44" t="n">
        <v>0.05468</v>
      </c>
      <c r="B36" s="44" t="n">
        <v>0.0703</v>
      </c>
      <c r="C36" s="45">
        <f>$G$1</f>
        <v/>
      </c>
      <c r="D36" s="45">
        <f>(( -A36 - (-0.25) ) * SIN(RADIANS($F$1)) + (B36 - 0) * COS(RADIANS($F$1)) - 0.25 * SIN(RADIANS($F$1))) * $E$1 + ($G$1 * TAN(RADIANS($I$1)))</f>
        <v/>
      </c>
      <c r="E36" s="45">
        <f>(( -A36 - (-0.25) ) * COS(RADIANS($F$1)) - (B36 - 0) * SIN(RADIANS($F$1)) + (-0.25)) * $E$1 - ($G$1 * TAN(RADIANS($H$1)))</f>
        <v/>
      </c>
    </row>
    <row r="37" ht="18" customHeight="1" s="24">
      <c r="A37" s="42" t="n">
        <v>0.03811</v>
      </c>
      <c r="B37" s="42" t="n">
        <v>0.05576</v>
      </c>
      <c r="C37" s="43">
        <f>$G$1</f>
        <v/>
      </c>
      <c r="D37" s="43">
        <f>(( -A37 - (-0.25) ) * SIN(RADIANS($F$1)) + (B37 - 0) * COS(RADIANS($F$1)) - 0.25 * SIN(RADIANS($F$1))) * $E$1 + ($G$1 * TAN(RADIANS($I$1)))</f>
        <v/>
      </c>
      <c r="E37" s="43">
        <f>(( -A37 - (-0.25) ) * COS(RADIANS($F$1)) - (B37 - 0) * SIN(RADIANS($F$1)) + (-0.25)) * $E$1 - ($G$1 * TAN(RADIANS($H$1)))</f>
        <v/>
      </c>
    </row>
    <row r="38" ht="18" customHeight="1" s="24">
      <c r="A38" s="44" t="n">
        <v>0.02433</v>
      </c>
      <c r="B38" s="44" t="n">
        <v>0.04145</v>
      </c>
      <c r="C38" s="45">
        <f>$G$1</f>
        <v/>
      </c>
      <c r="D38" s="45">
        <f>(( -A38 - (-0.25) ) * SIN(RADIANS($F$1)) + (B38 - 0) * COS(RADIANS($F$1)) - 0.25 * SIN(RADIANS($F$1))) * $E$1 + ($G$1 * TAN(RADIANS($I$1)))</f>
        <v/>
      </c>
      <c r="E38" s="45">
        <f>(( -A38 - (-0.25) ) * COS(RADIANS($F$1)) - (B38 - 0) * SIN(RADIANS($F$1)) + (-0.25)) * $E$1 - ($G$1 * TAN(RADIANS($H$1)))</f>
        <v/>
      </c>
    </row>
    <row r="39" ht="18" customHeight="1" s="24">
      <c r="A39" s="42" t="n">
        <v>0.01338</v>
      </c>
      <c r="B39" s="42" t="n">
        <v>0.02769</v>
      </c>
      <c r="C39" s="43">
        <f>$G$1</f>
        <v/>
      </c>
      <c r="D39" s="43">
        <f>(( -A39 - (-0.25) ) * SIN(RADIANS($F$1)) + (B39 - 0) * COS(RADIANS($F$1)) - 0.25 * SIN(RADIANS($F$1))) * $E$1 + ($G$1 * TAN(RADIANS($I$1)))</f>
        <v/>
      </c>
      <c r="E39" s="43">
        <f>(( -A39 - (-0.25) ) * COS(RADIANS($F$1)) - (B39 - 0) * SIN(RADIANS($F$1)) + (-0.25)) * $E$1 - ($G$1 * TAN(RADIANS($H$1)))</f>
        <v/>
      </c>
    </row>
    <row r="40" ht="18" customHeight="1" s="24">
      <c r="A40" s="44" t="n">
        <v>0.00548</v>
      </c>
      <c r="B40" s="44" t="n">
        <v>0.01518</v>
      </c>
      <c r="C40" s="45">
        <f>$G$1</f>
        <v/>
      </c>
      <c r="D40" s="45">
        <f>(( -A40 - (-0.25) ) * SIN(RADIANS($F$1)) + (B40 - 0) * COS(RADIANS($F$1)) - 0.25 * SIN(RADIANS($F$1))) * $E$1 + ($G$1 * TAN(RADIANS($I$1)))</f>
        <v/>
      </c>
      <c r="E40" s="45">
        <f>(( -A40 - (-0.25) ) * COS(RADIANS($F$1)) - (B40 - 0) * SIN(RADIANS($F$1)) + (-0.25)) * $E$1 - ($G$1 * TAN(RADIANS($H$1)))</f>
        <v/>
      </c>
    </row>
    <row r="41" ht="18" customHeight="1" s="24">
      <c r="A41" s="42" t="n">
        <v>0.00098</v>
      </c>
      <c r="B41" s="42" t="n">
        <v>0.00518</v>
      </c>
      <c r="C41" s="43">
        <f>$G$1</f>
        <v/>
      </c>
      <c r="D41" s="43">
        <f>(( -A41 - (-0.25) ) * SIN(RADIANS($F$1)) + (B41 - 0) * COS(RADIANS($F$1)) - 0.25 * SIN(RADIANS($F$1))) * $E$1 + ($G$1 * TAN(RADIANS($I$1)))</f>
        <v/>
      </c>
      <c r="E41" s="43">
        <f>(( -A41 - (-0.25) ) * COS(RADIANS($F$1)) - (B41 - 0) * SIN(RADIANS($F$1)) + (-0.25)) * $E$1 - ($G$1 * TAN(RADIANS($H$1)))</f>
        <v/>
      </c>
    </row>
    <row r="42" ht="18" customHeight="1" s="24">
      <c r="A42" s="44" t="n">
        <v>0</v>
      </c>
      <c r="B42" s="44" t="n">
        <v>0</v>
      </c>
      <c r="C42" s="45">
        <f>$G$1</f>
        <v/>
      </c>
      <c r="D42" s="45">
        <f>(( -A42 - (-0.25) ) * SIN(RADIANS($F$1)) + (B42 - 0) * COS(RADIANS($F$1)) - 0.25 * SIN(RADIANS($F$1))) * $E$1 + ($G$1 * TAN(RADIANS($I$1)))</f>
        <v/>
      </c>
      <c r="E42" s="45">
        <f>(( -A42 - (-0.25) ) * COS(RADIANS($F$1)) - (B42 - 0) * SIN(RADIANS($F$1)) + (-0.25)) * $E$1 - ($G$1 * TAN(RADIANS($H$1)))</f>
        <v/>
      </c>
    </row>
    <row r="43" ht="18" customHeight="1" s="24">
      <c r="A43" s="42" t="n">
        <v>0.00098</v>
      </c>
      <c r="B43" s="42" t="n">
        <v>-0.00435</v>
      </c>
      <c r="C43" s="43">
        <f>$G$1</f>
        <v/>
      </c>
      <c r="D43" s="43">
        <f>(( -A43 - (-0.25) ) * SIN(RADIANS($F$1)) + (B43 - 0) * COS(RADIANS($F$1)) - 0.25 * SIN(RADIANS($F$1))) * $E$1 + ($G$1 * TAN(RADIANS($I$1)))</f>
        <v/>
      </c>
      <c r="E43" s="43">
        <f>(( -A43 - (-0.25) ) * COS(RADIANS($F$1)) - (B43 - 0) * SIN(RADIANS($F$1)) + (-0.25)) * $E$1 - ($G$1 * TAN(RADIANS($H$1)))</f>
        <v/>
      </c>
    </row>
    <row r="44" ht="18" customHeight="1" s="24">
      <c r="A44" s="44" t="n">
        <v>0.00548</v>
      </c>
      <c r="B44" s="44" t="n">
        <v>-0.00787</v>
      </c>
      <c r="C44" s="45">
        <f>$G$1</f>
        <v/>
      </c>
      <c r="D44" s="45">
        <f>(( -A44 - (-0.25) ) * SIN(RADIANS($F$1)) + (B44 - 0) * COS(RADIANS($F$1)) - 0.25 * SIN(RADIANS($F$1))) * $E$1 + ($G$1 * TAN(RADIANS($I$1)))</f>
        <v/>
      </c>
      <c r="E44" s="45">
        <f>(( -A44 - (-0.25) ) * COS(RADIANS($F$1)) - (B44 - 0) * SIN(RADIANS($F$1)) + (-0.25)) * $E$1 - ($G$1 * TAN(RADIANS($H$1)))</f>
        <v/>
      </c>
    </row>
    <row r="45" ht="18" customHeight="1" s="24">
      <c r="A45" s="42" t="n">
        <v>0.01338</v>
      </c>
      <c r="B45" s="42" t="n">
        <v>-0.008710000000000001</v>
      </c>
      <c r="C45" s="43">
        <f>$G$1</f>
        <v/>
      </c>
      <c r="D45" s="43">
        <f>(( -A45 - (-0.25) ) * SIN(RADIANS($F$1)) + (B45 - 0) * COS(RADIANS($F$1)) - 0.25 * SIN(RADIANS($F$1))) * $E$1 + ($G$1 * TAN(RADIANS($I$1)))</f>
        <v/>
      </c>
      <c r="E45" s="43">
        <f>(( -A45 - (-0.25) ) * COS(RADIANS($F$1)) - (B45 - 0) * SIN(RADIANS($F$1)) + (-0.25)) * $E$1 - ($G$1 * TAN(RADIANS($H$1)))</f>
        <v/>
      </c>
    </row>
    <row r="46" ht="18" customHeight="1" s="24">
      <c r="A46" s="44" t="n">
        <v>0.02433</v>
      </c>
      <c r="B46" s="44" t="n">
        <v>-0.00754</v>
      </c>
      <c r="C46" s="45">
        <f>$G$1</f>
        <v/>
      </c>
      <c r="D46" s="45">
        <f>(( -A46 - (-0.25) ) * SIN(RADIANS($F$1)) + (B46 - 0) * COS(RADIANS($F$1)) - 0.25 * SIN(RADIANS($F$1))) * $E$1 + ($G$1 * TAN(RADIANS($I$1)))</f>
        <v/>
      </c>
      <c r="E46" s="45">
        <f>(( -A46 - (-0.25) ) * COS(RADIANS($F$1)) - (B46 - 0) * SIN(RADIANS($F$1)) + (-0.25)) * $E$1 - ($G$1 * TAN(RADIANS($H$1)))</f>
        <v/>
      </c>
    </row>
    <row r="47" ht="18" customHeight="1" s="24">
      <c r="A47" s="42" t="n">
        <v>0.03811</v>
      </c>
      <c r="B47" s="42" t="n">
        <v>-0.00539</v>
      </c>
      <c r="C47" s="43">
        <f>$G$1</f>
        <v/>
      </c>
      <c r="D47" s="43">
        <f>(( -A47 - (-0.25) ) * SIN(RADIANS($F$1)) + (B47 - 0) * COS(RADIANS($F$1)) - 0.25 * SIN(RADIANS($F$1))) * $E$1 + ($G$1 * TAN(RADIANS($I$1)))</f>
        <v/>
      </c>
      <c r="E47" s="43">
        <f>(( -A47 - (-0.25) ) * COS(RADIANS($F$1)) - (B47 - 0) * SIN(RADIANS($F$1)) + (-0.25)) * $E$1 - ($G$1 * TAN(RADIANS($H$1)))</f>
        <v/>
      </c>
    </row>
    <row r="48" ht="18" customHeight="1" s="24">
      <c r="A48" s="44" t="n">
        <v>0.05468</v>
      </c>
      <c r="B48" s="44" t="n">
        <v>-0.00292</v>
      </c>
      <c r="C48" s="45">
        <f>$G$1</f>
        <v/>
      </c>
      <c r="D48" s="45">
        <f>(( -A48 - (-0.25) ) * SIN(RADIANS($F$1)) + (B48 - 0) * COS(RADIANS($F$1)) - 0.25 * SIN(RADIANS($F$1))) * $E$1 + ($G$1 * TAN(RADIANS($I$1)))</f>
        <v/>
      </c>
      <c r="E48" s="45">
        <f>(( -A48 - (-0.25) ) * COS(RADIANS($F$1)) - (B48 - 0) * SIN(RADIANS($F$1)) + (-0.25)) * $E$1 - ($G$1 * TAN(RADIANS($H$1)))</f>
        <v/>
      </c>
    </row>
    <row r="49" ht="18" customHeight="1" s="24">
      <c r="A49" s="42" t="n">
        <v>0.07395</v>
      </c>
      <c r="B49" s="42" t="n">
        <v>-0.00022</v>
      </c>
      <c r="C49" s="43">
        <f>$G$1</f>
        <v/>
      </c>
      <c r="D49" s="43">
        <f>(( -A49 - (-0.25) ) * SIN(RADIANS($F$1)) + (B49 - 0) * COS(RADIANS($F$1)) - 0.25 * SIN(RADIANS($F$1))) * $E$1 + ($G$1 * TAN(RADIANS($I$1)))</f>
        <v/>
      </c>
      <c r="E49" s="43">
        <f>(( -A49 - (-0.25) ) * COS(RADIANS($F$1)) - (B49 - 0) * SIN(RADIANS($F$1)) + (-0.25)) * $E$1 - ($G$1 * TAN(RADIANS($H$1)))</f>
        <v/>
      </c>
    </row>
    <row r="50" ht="18" customHeight="1" s="24">
      <c r="A50" s="44" t="n">
        <v>0.09576</v>
      </c>
      <c r="B50" s="44" t="n">
        <v>0.0027</v>
      </c>
      <c r="C50" s="45">
        <f>$G$1</f>
        <v/>
      </c>
      <c r="D50" s="45">
        <f>(( -A50 - (-0.25) ) * SIN(RADIANS($F$1)) + (B50 - 0) * COS(RADIANS($F$1)) - 0.25 * SIN(RADIANS($F$1))) * $E$1 + ($G$1 * TAN(RADIANS($I$1)))</f>
        <v/>
      </c>
      <c r="E50" s="45">
        <f>(( -A50 - (-0.25) ) * COS(RADIANS($F$1)) - (B50 - 0) * SIN(RADIANS($F$1)) + (-0.25)) * $E$1 - ($G$1 * TAN(RADIANS($H$1)))</f>
        <v/>
      </c>
    </row>
    <row r="51" ht="18" customHeight="1" s="24">
      <c r="A51" s="42" t="n">
        <v>0.11999</v>
      </c>
      <c r="B51" s="42" t="n">
        <v>0.00584</v>
      </c>
      <c r="C51" s="43">
        <f>$G$1</f>
        <v/>
      </c>
      <c r="D51" s="43">
        <f>(( -A51 - (-0.25) ) * SIN(RADIANS($F$1)) + (B51 - 0) * COS(RADIANS($F$1)) - 0.25 * SIN(RADIANS($F$1))) * $E$1 + ($G$1 * TAN(RADIANS($I$1)))</f>
        <v/>
      </c>
      <c r="E51" s="43">
        <f>(( -A51 - (-0.25) ) * COS(RADIANS($F$1)) - (B51 - 0) * SIN(RADIANS($F$1)) + (-0.25)) * $E$1 - ($G$1 * TAN(RADIANS($H$1)))</f>
        <v/>
      </c>
    </row>
    <row r="52" ht="18" customHeight="1" s="24">
      <c r="A52" s="44" t="n">
        <v>0.14648</v>
      </c>
      <c r="B52" s="44" t="n">
        <v>0.009209999999999999</v>
      </c>
      <c r="C52" s="45">
        <f>$G$1</f>
        <v/>
      </c>
      <c r="D52" s="45">
        <f>(( -A52 - (-0.25) ) * SIN(RADIANS($F$1)) + (B52 - 0) * COS(RADIANS($F$1)) - 0.25 * SIN(RADIANS($F$1))) * $E$1 + ($G$1 * TAN(RADIANS($I$1)))</f>
        <v/>
      </c>
      <c r="E52" s="45">
        <f>(( -A52 - (-0.25) ) * COS(RADIANS($F$1)) - (B52 - 0) * SIN(RADIANS($F$1)) + (-0.25)) * $E$1 - ($G$1 * TAN(RADIANS($H$1)))</f>
        <v/>
      </c>
    </row>
    <row r="53" ht="18" customHeight="1" s="24">
      <c r="A53" s="42" t="n">
        <v>0.17504</v>
      </c>
      <c r="B53" s="42" t="n">
        <v>0.01279</v>
      </c>
      <c r="C53" s="43">
        <f>$G$1</f>
        <v/>
      </c>
      <c r="D53" s="43">
        <f>(( -A53 - (-0.25) ) * SIN(RADIANS($F$1)) + (B53 - 0) * COS(RADIANS($F$1)) - 0.25 * SIN(RADIANS($F$1))) * $E$1 + ($G$1 * TAN(RADIANS($I$1)))</f>
        <v/>
      </c>
      <c r="E53" s="43">
        <f>(( -A53 - (-0.25) ) * COS(RADIANS($F$1)) - (B53 - 0) * SIN(RADIANS($F$1)) + (-0.25)) * $E$1 - ($G$1 * TAN(RADIANS($H$1)))</f>
        <v/>
      </c>
    </row>
    <row r="54" ht="18" customHeight="1" s="24">
      <c r="A54" s="44" t="n">
        <v>0.20549</v>
      </c>
      <c r="B54" s="44" t="n">
        <v>0.01651</v>
      </c>
      <c r="C54" s="45">
        <f>$G$1</f>
        <v/>
      </c>
      <c r="D54" s="45">
        <f>(( -A54 - (-0.25) ) * SIN(RADIANS($F$1)) + (B54 - 0) * COS(RADIANS($F$1)) - 0.25 * SIN(RADIANS($F$1))) * $E$1 + ($G$1 * TAN(RADIANS($I$1)))</f>
        <v/>
      </c>
      <c r="E54" s="45">
        <f>(( -A54 - (-0.25) ) * COS(RADIANS($F$1)) - (B54 - 0) * SIN(RADIANS($F$1)) + (-0.25)) * $E$1 - ($G$1 * TAN(RADIANS($H$1)))</f>
        <v/>
      </c>
    </row>
    <row r="55" ht="18" customHeight="1" s="24">
      <c r="A55" s="42" t="n">
        <v>0.2376</v>
      </c>
      <c r="B55" s="42" t="n">
        <v>0.0203</v>
      </c>
      <c r="C55" s="43">
        <f>$G$1</f>
        <v/>
      </c>
      <c r="D55" s="43">
        <f>(( -A55 - (-0.25) ) * SIN(RADIANS($F$1)) + (B55 - 0) * COS(RADIANS($F$1)) - 0.25 * SIN(RADIANS($F$1))) * $E$1 + ($G$1 * TAN(RADIANS($I$1)))</f>
        <v/>
      </c>
      <c r="E55" s="43">
        <f>(( -A55 - (-0.25) ) * COS(RADIANS($F$1)) - (B55 - 0) * SIN(RADIANS($F$1)) + (-0.25)) * $E$1 - ($G$1 * TAN(RADIANS($H$1)))</f>
        <v/>
      </c>
    </row>
    <row r="56" ht="18" customHeight="1" s="24">
      <c r="A56" s="44" t="n">
        <v>0.2712</v>
      </c>
      <c r="B56" s="44" t="n">
        <v>0.0241</v>
      </c>
      <c r="C56" s="45">
        <f>$G$1</f>
        <v/>
      </c>
      <c r="D56" s="45">
        <f>(( -A56 - (-0.25) ) * SIN(RADIANS($F$1)) + (B56 - 0) * COS(RADIANS($F$1)) - 0.25 * SIN(RADIANS($F$1))) * $E$1 + ($G$1 * TAN(RADIANS($I$1)))</f>
        <v/>
      </c>
      <c r="E56" s="45">
        <f>(( -A56 - (-0.25) ) * COS(RADIANS($F$1)) - (B56 - 0) * SIN(RADIANS($F$1)) + (-0.25)) * $E$1 - ($G$1 * TAN(RADIANS($H$1)))</f>
        <v/>
      </c>
    </row>
    <row r="57" ht="18" customHeight="1" s="24">
      <c r="A57" s="42" t="n">
        <v>0.30609</v>
      </c>
      <c r="B57" s="42" t="n">
        <v>0.02786</v>
      </c>
      <c r="C57" s="43">
        <f>$G$1</f>
        <v/>
      </c>
      <c r="D57" s="43">
        <f>(( -A57 - (-0.25) ) * SIN(RADIANS($F$1)) + (B57 - 0) * COS(RADIANS($F$1)) - 0.25 * SIN(RADIANS($F$1))) * $E$1 + ($G$1 * TAN(RADIANS($I$1)))</f>
        <v/>
      </c>
      <c r="E57" s="43">
        <f>(( -A57 - (-0.25) ) * COS(RADIANS($F$1)) - (B57 - 0) * SIN(RADIANS($F$1)) + (-0.25)) * $E$1 - ($G$1 * TAN(RADIANS($H$1)))</f>
        <v/>
      </c>
    </row>
    <row r="58" ht="18" customHeight="1" s="24">
      <c r="A58" s="44" t="n">
        <v>0.34204</v>
      </c>
      <c r="B58" s="44" t="n">
        <v>0.03152</v>
      </c>
      <c r="C58" s="45">
        <f>$G$1</f>
        <v/>
      </c>
      <c r="D58" s="45">
        <f>(( -A58 - (-0.25) ) * SIN(RADIANS($F$1)) + (B58 - 0) * COS(RADIANS($F$1)) - 0.25 * SIN(RADIANS($F$1))) * $E$1 + ($G$1 * TAN(RADIANS($I$1)))</f>
        <v/>
      </c>
      <c r="E58" s="45">
        <f>(( -A58 - (-0.25) ) * COS(RADIANS($F$1)) - (B58 - 0) * SIN(RADIANS($F$1)) + (-0.25)) * $E$1 - ($G$1 * TAN(RADIANS($H$1)))</f>
        <v/>
      </c>
    </row>
    <row r="59" ht="18" customHeight="1" s="24">
      <c r="A59" s="42" t="n">
        <v>0.37887</v>
      </c>
      <c r="B59" s="42" t="n">
        <v>0.03503</v>
      </c>
      <c r="C59" s="43">
        <f>$G$1</f>
        <v/>
      </c>
      <c r="D59" s="43">
        <f>(( -A59 - (-0.25) ) * SIN(RADIANS($F$1)) + (B59 - 0) * COS(RADIANS($F$1)) - 0.25 * SIN(RADIANS($F$1))) * $E$1 + ($G$1 * TAN(RADIANS($I$1)))</f>
        <v/>
      </c>
      <c r="E59" s="43">
        <f>(( -A59 - (-0.25) ) * COS(RADIANS($F$1)) - (B59 - 0) * SIN(RADIANS($F$1)) + (-0.25)) * $E$1 - ($G$1 * TAN(RADIANS($H$1)))</f>
        <v/>
      </c>
    </row>
    <row r="60" ht="18" customHeight="1" s="24">
      <c r="A60" s="44" t="n">
        <v>0.41638</v>
      </c>
      <c r="B60" s="44" t="n">
        <v>0.03832</v>
      </c>
      <c r="C60" s="45">
        <f>$G$1</f>
        <v/>
      </c>
      <c r="D60" s="45">
        <f>(( -A60 - (-0.25) ) * SIN(RADIANS($F$1)) + (B60 - 0) * COS(RADIANS($F$1)) - 0.25 * SIN(RADIANS($F$1))) * $E$1 + ($G$1 * TAN(RADIANS($I$1)))</f>
        <v/>
      </c>
      <c r="E60" s="45">
        <f>(( -A60 - (-0.25) ) * COS(RADIANS($F$1)) - (B60 - 0) * SIN(RADIANS($F$1)) + (-0.25)) * $E$1 - ($G$1 * TAN(RADIANS($H$1)))</f>
        <v/>
      </c>
    </row>
    <row r="61" ht="18" customHeight="1" s="24">
      <c r="A61" s="42" t="n">
        <v>0.45435</v>
      </c>
      <c r="B61" s="42" t="n">
        <v>0.04134</v>
      </c>
      <c r="C61" s="43">
        <f>$G$1</f>
        <v/>
      </c>
      <c r="D61" s="43">
        <f>(( -A61 - (-0.25) ) * SIN(RADIANS($F$1)) + (B61 - 0) * COS(RADIANS($F$1)) - 0.25 * SIN(RADIANS($F$1))) * $E$1 + ($G$1 * TAN(RADIANS($I$1)))</f>
        <v/>
      </c>
      <c r="E61" s="43">
        <f>(( -A61 - (-0.25) ) * COS(RADIANS($F$1)) - (B61 - 0) * SIN(RADIANS($F$1)) + (-0.25)) * $E$1 - ($G$1 * TAN(RADIANS($H$1)))</f>
        <v/>
      </c>
    </row>
    <row r="62" ht="18" customHeight="1" s="24">
      <c r="A62" s="44" t="n">
        <v>0.49265</v>
      </c>
      <c r="B62" s="44" t="n">
        <v>0.044</v>
      </c>
      <c r="C62" s="45">
        <f>$G$1</f>
        <v/>
      </c>
      <c r="D62" s="45">
        <f>(( -A62 - (-0.25) ) * SIN(RADIANS($F$1)) + (B62 - 0) * COS(RADIANS($F$1)) - 0.25 * SIN(RADIANS($F$1))) * $E$1 + ($G$1 * TAN(RADIANS($I$1)))</f>
        <v/>
      </c>
      <c r="E62" s="45">
        <f>(( -A62 - (-0.25) ) * COS(RADIANS($F$1)) - (B62 - 0) * SIN(RADIANS($F$1)) + (-0.25)) * $E$1 - ($G$1 * TAN(RADIANS($H$1)))</f>
        <v/>
      </c>
    </row>
    <row r="63" ht="18" customHeight="1" s="24">
      <c r="A63" s="42" t="n">
        <v>0.53099</v>
      </c>
      <c r="B63" s="42" t="n">
        <v>0.04624</v>
      </c>
      <c r="C63" s="43">
        <f>$G$1</f>
        <v/>
      </c>
      <c r="D63" s="43">
        <f>(( -A63 - (-0.25) ) * SIN(RADIANS($F$1)) + (B63 - 0) * COS(RADIANS($F$1)) - 0.25 * SIN(RADIANS($F$1))) * $E$1 + ($G$1 * TAN(RADIANS($I$1)))</f>
        <v/>
      </c>
      <c r="E63" s="43">
        <f>(( -A63 - (-0.25) ) * COS(RADIANS($F$1)) - (B63 - 0) * SIN(RADIANS($F$1)) + (-0.25)) * $E$1 - ($G$1 * TAN(RADIANS($H$1)))</f>
        <v/>
      </c>
    </row>
    <row r="64" ht="18" customHeight="1" s="24">
      <c r="A64" s="44" t="n">
        <v>0.56937</v>
      </c>
      <c r="B64" s="44" t="n">
        <v>0.04801</v>
      </c>
      <c r="C64" s="45">
        <f>$G$1</f>
        <v/>
      </c>
      <c r="D64" s="45">
        <f>(( -A64 - (-0.25) ) * SIN(RADIANS($F$1)) + (B64 - 0) * COS(RADIANS($F$1)) - 0.25 * SIN(RADIANS($F$1))) * $E$1 + ($G$1 * TAN(RADIANS($I$1)))</f>
        <v/>
      </c>
      <c r="E64" s="45">
        <f>(( -A64 - (-0.25) ) * COS(RADIANS($F$1)) - (B64 - 0) * SIN(RADIANS($F$1)) + (-0.25)) * $E$1 - ($G$1 * TAN(RADIANS($H$1)))</f>
        <v/>
      </c>
    </row>
    <row r="65" ht="18" customHeight="1" s="24">
      <c r="A65" s="42" t="n">
        <v>0.60778</v>
      </c>
      <c r="B65" s="42" t="n">
        <v>0.04925</v>
      </c>
      <c r="C65" s="43">
        <f>$G$1</f>
        <v/>
      </c>
      <c r="D65" s="43">
        <f>(( -A65 - (-0.25) ) * SIN(RADIANS($F$1)) + (B65 - 0) * COS(RADIANS($F$1)) - 0.25 * SIN(RADIANS($F$1))) * $E$1 + ($G$1 * TAN(RADIANS($I$1)))</f>
        <v/>
      </c>
      <c r="E65" s="43">
        <f>(( -A65 - (-0.25) ) * COS(RADIANS($F$1)) - (B65 - 0) * SIN(RADIANS($F$1)) + (-0.25)) * $E$1 - ($G$1 * TAN(RADIANS($H$1)))</f>
        <v/>
      </c>
    </row>
    <row r="66" ht="18" customHeight="1" s="24">
      <c r="A66" s="44" t="n">
        <v>0.64594</v>
      </c>
      <c r="B66" s="44" t="n">
        <v>0.04992</v>
      </c>
      <c r="C66" s="45">
        <f>$G$1</f>
        <v/>
      </c>
      <c r="D66" s="45">
        <f>(( -A66 - (-0.25) ) * SIN(RADIANS($F$1)) + (B66 - 0) * COS(RADIANS($F$1)) - 0.25 * SIN(RADIANS($F$1))) * $E$1 + ($G$1 * TAN(RADIANS($I$1)))</f>
        <v/>
      </c>
      <c r="E66" s="45">
        <f>(( -A66 - (-0.25) ) * COS(RADIANS($F$1)) - (B66 - 0) * SIN(RADIANS($F$1)) + (-0.25)) * $E$1 - ($G$1 * TAN(RADIANS($H$1)))</f>
        <v/>
      </c>
    </row>
    <row r="67" ht="18" customHeight="1" s="24">
      <c r="A67" s="42" t="n">
        <v>0.68359</v>
      </c>
      <c r="B67" s="42" t="n">
        <v>0.04997</v>
      </c>
      <c r="C67" s="43">
        <f>$G$1</f>
        <v/>
      </c>
      <c r="D67" s="43">
        <f>(( -A67 - (-0.25) ) * SIN(RADIANS($F$1)) + (B67 - 0) * COS(RADIANS($F$1)) - 0.25 * SIN(RADIANS($F$1))) * $E$1 + ($G$1 * TAN(RADIANS($I$1)))</f>
        <v/>
      </c>
      <c r="E67" s="43">
        <f>(( -A67 - (-0.25) ) * COS(RADIANS($F$1)) - (B67 - 0) * SIN(RADIANS($F$1)) + (-0.25)) * $E$1 - ($G$1 * TAN(RADIANS($H$1)))</f>
        <v/>
      </c>
    </row>
    <row r="68" ht="18" customHeight="1" s="24">
      <c r="A68" s="44" t="n">
        <v>0.72043</v>
      </c>
      <c r="B68" s="44" t="n">
        <v>0.04936</v>
      </c>
      <c r="C68" s="45">
        <f>$G$1</f>
        <v/>
      </c>
      <c r="D68" s="45">
        <f>(( -A68 - (-0.25) ) * SIN(RADIANS($F$1)) + (B68 - 0) * COS(RADIANS($F$1)) - 0.25 * SIN(RADIANS($F$1))) * $E$1 + ($G$1 * TAN(RADIANS($I$1)))</f>
        <v/>
      </c>
      <c r="E68" s="45">
        <f>(( -A68 - (-0.25) ) * COS(RADIANS($F$1)) - (B68 - 0) * SIN(RADIANS($F$1)) + (-0.25)) * $E$1 - ($G$1 * TAN(RADIANS($H$1)))</f>
        <v/>
      </c>
    </row>
    <row r="69" ht="18" customHeight="1" s="24">
      <c r="A69" s="42" t="n">
        <v>0.7561600000000001</v>
      </c>
      <c r="B69" s="42" t="n">
        <v>0.04807</v>
      </c>
      <c r="C69" s="43">
        <f>$G$1</f>
        <v/>
      </c>
      <c r="D69" s="43">
        <f>(( -A69 - (-0.25) ) * SIN(RADIANS($F$1)) + (B69 - 0) * COS(RADIANS($F$1)) - 0.25 * SIN(RADIANS($F$1))) * $E$1 + ($G$1 * TAN(RADIANS($I$1)))</f>
        <v/>
      </c>
      <c r="E69" s="43">
        <f>(( -A69 - (-0.25) ) * COS(RADIANS($F$1)) - (B69 - 0) * SIN(RADIANS($F$1)) + (-0.25)) * $E$1 - ($G$1 * TAN(RADIANS($H$1)))</f>
        <v/>
      </c>
    </row>
    <row r="70" ht="18" customHeight="1" s="24">
      <c r="A70" s="44" t="n">
        <v>0.79048</v>
      </c>
      <c r="B70" s="44" t="n">
        <v>0.04608</v>
      </c>
      <c r="C70" s="45">
        <f>$G$1</f>
        <v/>
      </c>
      <c r="D70" s="45">
        <f>(( -A70 - (-0.25) ) * SIN(RADIANS($F$1)) + (B70 - 0) * COS(RADIANS($F$1)) - 0.25 * SIN(RADIANS($F$1))) * $E$1 + ($G$1 * TAN(RADIANS($I$1)))</f>
        <v/>
      </c>
      <c r="E70" s="45">
        <f>(( -A70 - (-0.25) ) * COS(RADIANS($F$1)) - (B70 - 0) * SIN(RADIANS($F$1)) + (-0.25)) * $E$1 - ($G$1 * TAN(RADIANS($H$1)))</f>
        <v/>
      </c>
    </row>
    <row r="71" ht="18" customHeight="1" s="24">
      <c r="A71" s="42" t="n">
        <v>0.82309</v>
      </c>
      <c r="B71" s="42" t="n">
        <v>0.04334</v>
      </c>
      <c r="C71" s="43">
        <f>$G$1</f>
        <v/>
      </c>
      <c r="D71" s="43">
        <f>(( -A71 - (-0.25) ) * SIN(RADIANS($F$1)) + (B71 - 0) * COS(RADIANS($F$1)) - 0.25 * SIN(RADIANS($F$1))) * $E$1 + ($G$1 * TAN(RADIANS($I$1)))</f>
        <v/>
      </c>
      <c r="E71" s="43">
        <f>(( -A71 - (-0.25) ) * COS(RADIANS($F$1)) - (B71 - 0) * SIN(RADIANS($F$1)) + (-0.25)) * $E$1 - ($G$1 * TAN(RADIANS($H$1)))</f>
        <v/>
      </c>
    </row>
    <row r="72" ht="18" customHeight="1" s="24">
      <c r="A72" s="44" t="n">
        <v>0.8537</v>
      </c>
      <c r="B72" s="44" t="n">
        <v>0.03978</v>
      </c>
      <c r="C72" s="45">
        <f>$G$1</f>
        <v/>
      </c>
      <c r="D72" s="45">
        <f>(( -A72 - (-0.25) ) * SIN(RADIANS($F$1)) + (B72 - 0) * COS(RADIANS($F$1)) - 0.25 * SIN(RADIANS($F$1))) * $E$1 + ($G$1 * TAN(RADIANS($I$1)))</f>
        <v/>
      </c>
      <c r="E72" s="45">
        <f>(( -A72 - (-0.25) ) * COS(RADIANS($F$1)) - (B72 - 0) * SIN(RADIANS($F$1)) + (-0.25)) * $E$1 - ($G$1 * TAN(RADIANS($H$1)))</f>
        <v/>
      </c>
    </row>
    <row r="73" ht="18" customHeight="1" s="24">
      <c r="A73" s="42" t="n">
        <v>0.88202</v>
      </c>
      <c r="B73" s="42" t="n">
        <v>0.03537</v>
      </c>
      <c r="C73" s="43">
        <f>$G$1</f>
        <v/>
      </c>
      <c r="D73" s="43">
        <f>(( -A73 - (-0.25) ) * SIN(RADIANS($F$1)) + (B73 - 0) * COS(RADIANS($F$1)) - 0.25 * SIN(RADIANS($F$1))) * $E$1 + ($G$1 * TAN(RADIANS($I$1)))</f>
        <v/>
      </c>
      <c r="E73" s="43">
        <f>(( -A73 - (-0.25) ) * COS(RADIANS($F$1)) - (B73 - 0) * SIN(RADIANS($F$1)) + (-0.25)) * $E$1 - ($G$1 * TAN(RADIANS($H$1)))</f>
        <v/>
      </c>
    </row>
    <row r="74" ht="18" customHeight="1" s="24">
      <c r="A74" s="44" t="n">
        <v>0.9077499999999999</v>
      </c>
      <c r="B74" s="44" t="n">
        <v>0.03013</v>
      </c>
      <c r="C74" s="45">
        <f>$G$1</f>
        <v/>
      </c>
      <c r="D74" s="45">
        <f>(( -A74 - (-0.25) ) * SIN(RADIANS($F$1)) + (B74 - 0) * COS(RADIANS($F$1)) - 0.25 * SIN(RADIANS($F$1))) * $E$1 + ($G$1 * TAN(RADIANS($I$1)))</f>
        <v/>
      </c>
      <c r="E74" s="45">
        <f>(( -A74 - (-0.25) ) * COS(RADIANS($F$1)) - (B74 - 0) * SIN(RADIANS($F$1)) + (-0.25)) * $E$1 - ($G$1 * TAN(RADIANS($H$1)))</f>
        <v/>
      </c>
    </row>
    <row r="75" ht="18" customHeight="1" s="24">
      <c r="A75" s="42" t="n">
        <v>0.93064</v>
      </c>
      <c r="B75" s="42" t="n">
        <v>0.02434</v>
      </c>
      <c r="C75" s="43">
        <f>$G$1</f>
        <v/>
      </c>
      <c r="D75" s="43">
        <f>(( -A75 - (-0.25) ) * SIN(RADIANS($F$1)) + (B75 - 0) * COS(RADIANS($F$1)) - 0.25 * SIN(RADIANS($F$1))) * $E$1 + ($G$1 * TAN(RADIANS($I$1)))</f>
        <v/>
      </c>
      <c r="E75" s="43">
        <f>(( -A75 - (-0.25) ) * COS(RADIANS($F$1)) - (B75 - 0) * SIN(RADIANS($F$1)) + (-0.25)) * $E$1 - ($G$1 * TAN(RADIANS($H$1)))</f>
        <v/>
      </c>
    </row>
    <row r="76" ht="18" customHeight="1" s="24">
      <c r="A76" s="44" t="n">
        <v>0.95044</v>
      </c>
      <c r="B76" s="44" t="n">
        <v>0.01851</v>
      </c>
      <c r="C76" s="45">
        <f>$G$1</f>
        <v/>
      </c>
      <c r="D76" s="45">
        <f>(( -A76 - (-0.25) ) * SIN(RADIANS($F$1)) + (B76 - 0) * COS(RADIANS($F$1)) - 0.25 * SIN(RADIANS($F$1))) * $E$1 + ($G$1 * TAN(RADIANS($I$1)))</f>
        <v/>
      </c>
      <c r="E76" s="45">
        <f>(( -A76 - (-0.25) ) * COS(RADIANS($F$1)) - (B76 - 0) * SIN(RADIANS($F$1)) + (-0.25)) * $E$1 - ($G$1 * TAN(RADIANS($H$1)))</f>
        <v/>
      </c>
    </row>
    <row r="77" ht="18" customHeight="1" s="24">
      <c r="A77" s="42" t="n">
        <v>0.96698</v>
      </c>
      <c r="B77" s="42" t="n">
        <v>0.0129</v>
      </c>
      <c r="C77" s="43">
        <f>$G$1</f>
        <v/>
      </c>
      <c r="D77" s="43">
        <f>(( -A77 - (-0.25) ) * SIN(RADIANS($F$1)) + (B77 - 0) * COS(RADIANS($F$1)) - 0.25 * SIN(RADIANS($F$1))) * $E$1 + ($G$1 * TAN(RADIANS($I$1)))</f>
        <v/>
      </c>
      <c r="E77" s="43">
        <f>(( -A77 - (-0.25) ) * COS(RADIANS($F$1)) - (B77 - 0) * SIN(RADIANS($F$1)) + (-0.25)) * $E$1 - ($G$1 * TAN(RADIANS($H$1)))</f>
        <v/>
      </c>
    </row>
    <row r="78" ht="18" customHeight="1" s="24">
      <c r="A78" s="44" t="n">
        <v>0.98037</v>
      </c>
      <c r="B78" s="44" t="n">
        <v>0.00756</v>
      </c>
      <c r="C78" s="45">
        <f>$G$1</f>
        <v/>
      </c>
      <c r="D78" s="45">
        <f>(( -A78 - (-0.25) ) * SIN(RADIANS($F$1)) + (B78 - 0) * COS(RADIANS($F$1)) - 0.25 * SIN(RADIANS($F$1))) * $E$1 + ($G$1 * TAN(RADIANS($I$1)))</f>
        <v/>
      </c>
      <c r="E78" s="45">
        <f>(( -A78 - (-0.25) ) * COS(RADIANS($F$1)) - (B78 - 0) * SIN(RADIANS($F$1)) + (-0.25)) * $E$1 - ($G$1 * TAN(RADIANS($H$1)))</f>
        <v/>
      </c>
    </row>
    <row r="79" ht="18" customHeight="1" s="24">
      <c r="A79" s="42" t="n">
        <v>0.9907</v>
      </c>
      <c r="B79" s="42" t="n">
        <v>0.00319</v>
      </c>
      <c r="C79" s="43">
        <f>$G$1</f>
        <v/>
      </c>
      <c r="D79" s="43">
        <f>(( -A79 - (-0.25) ) * SIN(RADIANS($F$1)) + (B79 - 0) * COS(RADIANS($F$1)) - 0.25 * SIN(RADIANS($F$1))) * $E$1 + ($G$1 * TAN(RADIANS($I$1)))</f>
        <v/>
      </c>
      <c r="E79" s="43">
        <f>(( -A79 - (-0.25) ) * COS(RADIANS($F$1)) - (B79 - 0) * SIN(RADIANS($F$1)) + (-0.25)) * $E$1 - ($G$1 * TAN(RADIANS($H$1)))</f>
        <v/>
      </c>
    </row>
    <row r="80" ht="18" customHeight="1" s="24">
      <c r="A80" s="44" t="n">
        <v>0.99754</v>
      </c>
      <c r="B80" s="44" t="n">
        <v>0.00068</v>
      </c>
      <c r="C80" s="45">
        <f>$G$1</f>
        <v/>
      </c>
      <c r="D80" s="45">
        <f>(( -A80 - (-0.25) ) * SIN(RADIANS($F$1)) + (B80 - 0) * COS(RADIANS($F$1)) - 0.25 * SIN(RADIANS($F$1))) * $E$1 + ($G$1 * TAN(RADIANS($I$1)))</f>
        <v/>
      </c>
      <c r="E80" s="45">
        <f>(( -A80 - (-0.25) ) * COS(RADIANS($F$1)) - (B80 - 0) * SIN(RADIANS($F$1)) + (-0.25)) * $E$1 - ($G$1 * TAN(RADIANS($H$1)))</f>
        <v/>
      </c>
    </row>
    <row r="81" ht="18" customHeight="1" s="24">
      <c r="A81" s="42" t="n">
        <v>1</v>
      </c>
      <c r="B81" s="42" t="n">
        <v>0</v>
      </c>
      <c r="C81" s="43">
        <f>$G$1</f>
        <v/>
      </c>
      <c r="D81" s="43">
        <f>(( -A81 - (-0.25) ) * SIN(RADIANS($F$1)) + (B81 - 0) * COS(RADIANS($F$1)) - 0.25 * SIN(RADIANS($F$1))) * $E$1 + ($G$1 * TAN(RADIANS($I$1)))</f>
        <v/>
      </c>
      <c r="E81" s="43">
        <f>(( -A81 - (-0.25) ) * COS(RADIANS($F$1)) - (B81 - 0) * SIN(RADIANS($F$1)) + (-0.25)) * $E$1 - ($G$1 * TAN(RADIANS($H$1)))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3" min="1" max="1"/>
    <col width="14" customWidth="1" style="23" min="2" max="2"/>
    <col width="19" customWidth="1" style="23" min="3" max="3"/>
    <col width="116" customWidth="1" style="23" min="4" max="4"/>
    <col width="126" customWidth="1" style="23" min="5" max="5"/>
    <col width="24" customWidth="1" style="23" min="6" max="6"/>
    <col width="25" customWidth="1" style="23" min="7" max="7"/>
    <col width="24" customWidth="1" style="23" min="8" max="9"/>
  </cols>
  <sheetData>
    <row r="1" ht="25.5" customHeight="1" s="24">
      <c r="A1" s="36" t="inlineStr">
        <is>
          <t>AIRFOIL PROFILE:</t>
        </is>
      </c>
      <c r="B1" s="37" t="inlineStr">
        <is>
          <t>FX74CL5140</t>
        </is>
      </c>
      <c r="C1" s="38" t="inlineStr">
        <is>
          <t>STATION CONFIG:</t>
        </is>
      </c>
      <c r="D1" s="36" t="inlineStr">
        <is>
          <t>Tip Chord Parameters (E1-I1) -&gt;</t>
        </is>
      </c>
      <c r="E1" s="39">
        <f>Control_Panel!$C$7</f>
        <v/>
      </c>
      <c r="F1" s="40">
        <f>Control_Panel!$C$23</f>
        <v/>
      </c>
      <c r="G1" s="39">
        <f>Control_Panel!$C$15</f>
        <v/>
      </c>
      <c r="H1" s="40">
        <f>Control_Panel!$C$10</f>
        <v/>
      </c>
      <c r="I1" s="40">
        <f>Control_Panel!$C$11</f>
        <v/>
      </c>
    </row>
    <row r="2" ht="24" customHeight="1" s="24">
      <c r="A2" s="27" t="inlineStr">
        <is>
          <t>x_norm</t>
        </is>
      </c>
      <c r="B2" s="27" t="inlineStr">
        <is>
          <t>y_norm</t>
        </is>
      </c>
      <c r="C2" s="27" t="inlineStr">
        <is>
          <t>SW_X (Spanwise)</t>
        </is>
      </c>
      <c r="D2" s="27" t="inlineStr">
        <is>
          <t>SW_Y (Vertical)</t>
        </is>
      </c>
      <c r="E2" s="27" t="inlineStr">
        <is>
          <t>SW_Z (Longitudinal)</t>
        </is>
      </c>
      <c r="F2" s="41" t="inlineStr">
        <is>
          <t>(F1) Incidence (deg)</t>
        </is>
      </c>
      <c r="G2" s="41" t="inlineStr">
        <is>
          <t>(G1) Span Offset (mm)</t>
        </is>
      </c>
      <c r="H2" s="41" t="inlineStr">
        <is>
          <t>(H1) LE Sweep (deg)</t>
        </is>
      </c>
      <c r="I2" s="41" t="inlineStr">
        <is>
          <t>(I1) Dihedral (deg)</t>
        </is>
      </c>
    </row>
    <row r="3" ht="18" customHeight="1" s="24">
      <c r="A3" s="42" t="n">
        <v>1</v>
      </c>
      <c r="B3" s="42" t="n">
        <v>0</v>
      </c>
      <c r="C3" s="43">
        <f>$G$1</f>
        <v/>
      </c>
      <c r="D3" s="43">
        <f>(( -A3 - (-0.25) ) * SIN(RADIANS($F$1)) + (B3 - 0) * COS(RADIANS($F$1)) - 0.25 * SIN(RADIANS($F$1))) * $E$1 + ($G$1 * TAN(RADIANS($I$1)))</f>
        <v/>
      </c>
      <c r="E3" s="43">
        <f>(( -A3 - (-0.25) ) * COS(RADIANS($F$1)) - (B3 - 0) * SIN(RADIANS($F$1)) + (-0.25)) * $E$1 - ($G$1 * TAN(RADIANS($H$1)))</f>
        <v/>
      </c>
    </row>
    <row r="4" ht="18" customHeight="1" s="24">
      <c r="A4" s="44" t="n">
        <v>0.99754</v>
      </c>
      <c r="B4" s="44" t="n">
        <v>0.00189</v>
      </c>
      <c r="C4" s="45">
        <f>$G$1</f>
        <v/>
      </c>
      <c r="D4" s="45">
        <f>(( -A4 - (-0.25) ) * SIN(RADIANS($F$1)) + (B4 - 0) * COS(RADIANS($F$1)) - 0.25 * SIN(RADIANS($F$1))) * $E$1 + ($G$1 * TAN(RADIANS($I$1)))</f>
        <v/>
      </c>
      <c r="E4" s="45">
        <f>(( -A4 - (-0.25) ) * COS(RADIANS($F$1)) - (B4 - 0) * SIN(RADIANS($F$1)) + (-0.25)) * $E$1 - ($G$1 * TAN(RADIANS($H$1)))</f>
        <v/>
      </c>
    </row>
    <row r="5" ht="18" customHeight="1" s="24">
      <c r="A5" s="42" t="n">
        <v>0.9907</v>
      </c>
      <c r="B5" s="42" t="n">
        <v>0.00624</v>
      </c>
      <c r="C5" s="43">
        <f>$G$1</f>
        <v/>
      </c>
      <c r="D5" s="43">
        <f>(( -A5 - (-0.25) ) * SIN(RADIANS($F$1)) + (B5 - 0) * COS(RADIANS($F$1)) - 0.25 * SIN(RADIANS($F$1))) * $E$1 + ($G$1 * TAN(RADIANS($I$1)))</f>
        <v/>
      </c>
      <c r="E5" s="43">
        <f>(( -A5 - (-0.25) ) * COS(RADIANS($F$1)) - (B5 - 0) * SIN(RADIANS($F$1)) + (-0.25)) * $E$1 - ($G$1 * TAN(RADIANS($H$1)))</f>
        <v/>
      </c>
    </row>
    <row r="6" ht="18" customHeight="1" s="24">
      <c r="A6" s="44" t="n">
        <v>0.98037</v>
      </c>
      <c r="B6" s="44" t="n">
        <v>0.0115</v>
      </c>
      <c r="C6" s="45">
        <f>$G$1</f>
        <v/>
      </c>
      <c r="D6" s="45">
        <f>(( -A6 - (-0.25) ) * SIN(RADIANS($F$1)) + (B6 - 0) * COS(RADIANS($F$1)) - 0.25 * SIN(RADIANS($F$1))) * $E$1 + ($G$1 * TAN(RADIANS($I$1)))</f>
        <v/>
      </c>
      <c r="E6" s="45">
        <f>(( -A6 - (-0.25) ) * COS(RADIANS($F$1)) - (B6 - 0) * SIN(RADIANS($F$1)) + (-0.25)) * $E$1 - ($G$1 * TAN(RADIANS($H$1)))</f>
        <v/>
      </c>
    </row>
    <row r="7" ht="18" customHeight="1" s="24">
      <c r="A7" s="42" t="n">
        <v>0.96698</v>
      </c>
      <c r="B7" s="42" t="n">
        <v>0.01741</v>
      </c>
      <c r="C7" s="43">
        <f>$G$1</f>
        <v/>
      </c>
      <c r="D7" s="43">
        <f>(( -A7 - (-0.25) ) * SIN(RADIANS($F$1)) + (B7 - 0) * COS(RADIANS($F$1)) - 0.25 * SIN(RADIANS($F$1))) * $E$1 + ($G$1 * TAN(RADIANS($I$1)))</f>
        <v/>
      </c>
      <c r="E7" s="43">
        <f>(( -A7 - (-0.25) ) * COS(RADIANS($F$1)) - (B7 - 0) * SIN(RADIANS($F$1)) + (-0.25)) * $E$1 - ($G$1 * TAN(RADIANS($H$1)))</f>
        <v/>
      </c>
    </row>
    <row r="8" ht="18" customHeight="1" s="24">
      <c r="A8" s="44" t="n">
        <v>0.95044</v>
      </c>
      <c r="B8" s="44" t="n">
        <v>0.02402</v>
      </c>
      <c r="C8" s="45">
        <f>$G$1</f>
        <v/>
      </c>
      <c r="D8" s="45">
        <f>(( -A8 - (-0.25) ) * SIN(RADIANS($F$1)) + (B8 - 0) * COS(RADIANS($F$1)) - 0.25 * SIN(RADIANS($F$1))) * $E$1 + ($G$1 * TAN(RADIANS($I$1)))</f>
        <v/>
      </c>
      <c r="E8" s="45">
        <f>(( -A8 - (-0.25) ) * COS(RADIANS($F$1)) - (B8 - 0) * SIN(RADIANS($F$1)) + (-0.25)) * $E$1 - ($G$1 * TAN(RADIANS($H$1)))</f>
        <v/>
      </c>
    </row>
    <row r="9" ht="18" customHeight="1" s="24">
      <c r="A9" s="42" t="n">
        <v>0.93064</v>
      </c>
      <c r="B9" s="42" t="n">
        <v>0.03188</v>
      </c>
      <c r="C9" s="43">
        <f>$G$1</f>
        <v/>
      </c>
      <c r="D9" s="43">
        <f>(( -A9 - (-0.25) ) * SIN(RADIANS($F$1)) + (B9 - 0) * COS(RADIANS($F$1)) - 0.25 * SIN(RADIANS($F$1))) * $E$1 + ($G$1 * TAN(RADIANS($I$1)))</f>
        <v/>
      </c>
      <c r="E9" s="43">
        <f>(( -A9 - (-0.25) ) * COS(RADIANS($F$1)) - (B9 - 0) * SIN(RADIANS($F$1)) + (-0.25)) * $E$1 - ($G$1 * TAN(RADIANS($H$1)))</f>
        <v/>
      </c>
    </row>
    <row r="10" ht="18" customHeight="1" s="24">
      <c r="A10" s="44" t="n">
        <v>0.9077499999999999</v>
      </c>
      <c r="B10" s="44" t="n">
        <v>0.04001</v>
      </c>
      <c r="C10" s="45">
        <f>$G$1</f>
        <v/>
      </c>
      <c r="D10" s="45">
        <f>(( -A10 - (-0.25) ) * SIN(RADIANS($F$1)) + (B10 - 0) * COS(RADIANS($F$1)) - 0.25 * SIN(RADIANS($F$1))) * $E$1 + ($G$1 * TAN(RADIANS($I$1)))</f>
        <v/>
      </c>
      <c r="E10" s="45">
        <f>(( -A10 - (-0.25) ) * COS(RADIANS($F$1)) - (B10 - 0) * SIN(RADIANS($F$1)) + (-0.25)) * $E$1 - ($G$1 * TAN(RADIANS($H$1)))</f>
        <v/>
      </c>
    </row>
    <row r="11" ht="18" customHeight="1" s="24">
      <c r="A11" s="42" t="n">
        <v>0.88202</v>
      </c>
      <c r="B11" s="42" t="n">
        <v>0.04848</v>
      </c>
      <c r="C11" s="43">
        <f>$G$1</f>
        <v/>
      </c>
      <c r="D11" s="43">
        <f>(( -A11 - (-0.25) ) * SIN(RADIANS($F$1)) + (B11 - 0) * COS(RADIANS($F$1)) - 0.25 * SIN(RADIANS($F$1))) * $E$1 + ($G$1 * TAN(RADIANS($I$1)))</f>
        <v/>
      </c>
      <c r="E11" s="43">
        <f>(( -A11 - (-0.25) ) * COS(RADIANS($F$1)) - (B11 - 0) * SIN(RADIANS($F$1)) + (-0.25)) * $E$1 - ($G$1 * TAN(RADIANS($H$1)))</f>
        <v/>
      </c>
    </row>
    <row r="12" ht="18" customHeight="1" s="24">
      <c r="A12" s="44" t="n">
        <v>0.8537</v>
      </c>
      <c r="B12" s="44" t="n">
        <v>0.05718</v>
      </c>
      <c r="C12" s="45">
        <f>$G$1</f>
        <v/>
      </c>
      <c r="D12" s="45">
        <f>(( -A12 - (-0.25) ) * SIN(RADIANS($F$1)) + (B12 - 0) * COS(RADIANS($F$1)) - 0.25 * SIN(RADIANS($F$1))) * $E$1 + ($G$1 * TAN(RADIANS($I$1)))</f>
        <v/>
      </c>
      <c r="E12" s="45">
        <f>(( -A12 - (-0.25) ) * COS(RADIANS($F$1)) - (B12 - 0) * SIN(RADIANS($F$1)) + (-0.25)) * $E$1 - ($G$1 * TAN(RADIANS($H$1)))</f>
        <v/>
      </c>
    </row>
    <row r="13" ht="18" customHeight="1" s="24">
      <c r="A13" s="42" t="n">
        <v>0.82309</v>
      </c>
      <c r="B13" s="42" t="n">
        <v>0.06616</v>
      </c>
      <c r="C13" s="43">
        <f>$G$1</f>
        <v/>
      </c>
      <c r="D13" s="43">
        <f>(( -A13 - (-0.25) ) * SIN(RADIANS($F$1)) + (B13 - 0) * COS(RADIANS($F$1)) - 0.25 * SIN(RADIANS($F$1))) * $E$1 + ($G$1 * TAN(RADIANS($I$1)))</f>
        <v/>
      </c>
      <c r="E13" s="43">
        <f>(( -A13 - (-0.25) ) * COS(RADIANS($F$1)) - (B13 - 0) * SIN(RADIANS($F$1)) + (-0.25)) * $E$1 - ($G$1 * TAN(RADIANS($H$1)))</f>
        <v/>
      </c>
    </row>
    <row r="14" ht="18" customHeight="1" s="24">
      <c r="A14" s="44" t="n">
        <v>0.79048</v>
      </c>
      <c r="B14" s="44" t="n">
        <v>0.07549</v>
      </c>
      <c r="C14" s="45">
        <f>$G$1</f>
        <v/>
      </c>
      <c r="D14" s="45">
        <f>(( -A14 - (-0.25) ) * SIN(RADIANS($F$1)) + (B14 - 0) * COS(RADIANS($F$1)) - 0.25 * SIN(RADIANS($F$1))) * $E$1 + ($G$1 * TAN(RADIANS($I$1)))</f>
        <v/>
      </c>
      <c r="E14" s="45">
        <f>(( -A14 - (-0.25) ) * COS(RADIANS($F$1)) - (B14 - 0) * SIN(RADIANS($F$1)) + (-0.25)) * $E$1 - ($G$1 * TAN(RADIANS($H$1)))</f>
        <v/>
      </c>
    </row>
    <row r="15" ht="18" customHeight="1" s="24">
      <c r="A15" s="42" t="n">
        <v>0.7561600000000001</v>
      </c>
      <c r="B15" s="42" t="n">
        <v>0.0851</v>
      </c>
      <c r="C15" s="43">
        <f>$G$1</f>
        <v/>
      </c>
      <c r="D15" s="43">
        <f>(( -A15 - (-0.25) ) * SIN(RADIANS($F$1)) + (B15 - 0) * COS(RADIANS($F$1)) - 0.25 * SIN(RADIANS($F$1))) * $E$1 + ($G$1 * TAN(RADIANS($I$1)))</f>
        <v/>
      </c>
      <c r="E15" s="43">
        <f>(( -A15 - (-0.25) ) * COS(RADIANS($F$1)) - (B15 - 0) * SIN(RADIANS($F$1)) + (-0.25)) * $E$1 - ($G$1 * TAN(RADIANS($H$1)))</f>
        <v/>
      </c>
    </row>
    <row r="16" ht="18" customHeight="1" s="24">
      <c r="A16" s="44" t="n">
        <v>0.72043</v>
      </c>
      <c r="B16" s="44" t="n">
        <v>0.09482</v>
      </c>
      <c r="C16" s="45">
        <f>$G$1</f>
        <v/>
      </c>
      <c r="D16" s="45">
        <f>(( -A16 - (-0.25) ) * SIN(RADIANS($F$1)) + (B16 - 0) * COS(RADIANS($F$1)) - 0.25 * SIN(RADIANS($F$1))) * $E$1 + ($G$1 * TAN(RADIANS($I$1)))</f>
        <v/>
      </c>
      <c r="E16" s="45">
        <f>(( -A16 - (-0.25) ) * COS(RADIANS($F$1)) - (B16 - 0) * SIN(RADIANS($F$1)) + (-0.25)) * $E$1 - ($G$1 * TAN(RADIANS($H$1)))</f>
        <v/>
      </c>
    </row>
    <row r="17" ht="18" customHeight="1" s="24">
      <c r="A17" s="42" t="n">
        <v>0.68359</v>
      </c>
      <c r="B17" s="42" t="n">
        <v>0.10446</v>
      </c>
      <c r="C17" s="43">
        <f>$G$1</f>
        <v/>
      </c>
      <c r="D17" s="43">
        <f>(( -A17 - (-0.25) ) * SIN(RADIANS($F$1)) + (B17 - 0) * COS(RADIANS($F$1)) - 0.25 * SIN(RADIANS($F$1))) * $E$1 + ($G$1 * TAN(RADIANS($I$1)))</f>
        <v/>
      </c>
      <c r="E17" s="43">
        <f>(( -A17 - (-0.25) ) * COS(RADIANS($F$1)) - (B17 - 0) * SIN(RADIANS($F$1)) + (-0.25)) * $E$1 - ($G$1 * TAN(RADIANS($H$1)))</f>
        <v/>
      </c>
    </row>
    <row r="18" ht="18" customHeight="1" s="24">
      <c r="A18" s="44" t="n">
        <v>0.64594</v>
      </c>
      <c r="B18" s="44" t="n">
        <v>0.11385</v>
      </c>
      <c r="C18" s="45">
        <f>$G$1</f>
        <v/>
      </c>
      <c r="D18" s="45">
        <f>(( -A18 - (-0.25) ) * SIN(RADIANS($F$1)) + (B18 - 0) * COS(RADIANS($F$1)) - 0.25 * SIN(RADIANS($F$1))) * $E$1 + ($G$1 * TAN(RADIANS($I$1)))</f>
        <v/>
      </c>
      <c r="E18" s="45">
        <f>(( -A18 - (-0.25) ) * COS(RADIANS($F$1)) - (B18 - 0) * SIN(RADIANS($F$1)) + (-0.25)) * $E$1 - ($G$1 * TAN(RADIANS($H$1)))</f>
        <v/>
      </c>
    </row>
    <row r="19" ht="18" customHeight="1" s="24">
      <c r="A19" s="42" t="n">
        <v>0.60778</v>
      </c>
      <c r="B19" s="42" t="n">
        <v>0.12287</v>
      </c>
      <c r="C19" s="43">
        <f>$G$1</f>
        <v/>
      </c>
      <c r="D19" s="43">
        <f>(( -A19 - (-0.25) ) * SIN(RADIANS($F$1)) + (B19 - 0) * COS(RADIANS($F$1)) - 0.25 * SIN(RADIANS($F$1))) * $E$1 + ($G$1 * TAN(RADIANS($I$1)))</f>
        <v/>
      </c>
      <c r="E19" s="43">
        <f>(( -A19 - (-0.25) ) * COS(RADIANS($F$1)) - (B19 - 0) * SIN(RADIANS($F$1)) + (-0.25)) * $E$1 - ($G$1 * TAN(RADIANS($H$1)))</f>
        <v/>
      </c>
    </row>
    <row r="20" ht="18" customHeight="1" s="24">
      <c r="A20" s="44" t="n">
        <v>0.56937</v>
      </c>
      <c r="B20" s="44" t="n">
        <v>0.13137</v>
      </c>
      <c r="C20" s="45">
        <f>$G$1</f>
        <v/>
      </c>
      <c r="D20" s="45">
        <f>(( -A20 - (-0.25) ) * SIN(RADIANS($F$1)) + (B20 - 0) * COS(RADIANS($F$1)) - 0.25 * SIN(RADIANS($F$1))) * $E$1 + ($G$1 * TAN(RADIANS($I$1)))</f>
        <v/>
      </c>
      <c r="E20" s="45">
        <f>(( -A20 - (-0.25) ) * COS(RADIANS($F$1)) - (B20 - 0) * SIN(RADIANS($F$1)) + (-0.25)) * $E$1 - ($G$1 * TAN(RADIANS($H$1)))</f>
        <v/>
      </c>
    </row>
    <row r="21" ht="18" customHeight="1" s="24">
      <c r="A21" s="42" t="n">
        <v>0.53099</v>
      </c>
      <c r="B21" s="42" t="n">
        <v>0.13916</v>
      </c>
      <c r="C21" s="43">
        <f>$G$1</f>
        <v/>
      </c>
      <c r="D21" s="43">
        <f>(( -A21 - (-0.25) ) * SIN(RADIANS($F$1)) + (B21 - 0) * COS(RADIANS($F$1)) - 0.25 * SIN(RADIANS($F$1))) * $E$1 + ($G$1 * TAN(RADIANS($I$1)))</f>
        <v/>
      </c>
      <c r="E21" s="43">
        <f>(( -A21 - (-0.25) ) * COS(RADIANS($F$1)) - (B21 - 0) * SIN(RADIANS($F$1)) + (-0.25)) * $E$1 - ($G$1 * TAN(RADIANS($H$1)))</f>
        <v/>
      </c>
    </row>
    <row r="22" ht="18" customHeight="1" s="24">
      <c r="A22" s="44" t="n">
        <v>0.49265</v>
      </c>
      <c r="B22" s="44" t="n">
        <v>0.14604</v>
      </c>
      <c r="C22" s="45">
        <f>$G$1</f>
        <v/>
      </c>
      <c r="D22" s="45">
        <f>(( -A22 - (-0.25) ) * SIN(RADIANS($F$1)) + (B22 - 0) * COS(RADIANS($F$1)) - 0.25 * SIN(RADIANS($F$1))) * $E$1 + ($G$1 * TAN(RADIANS($I$1)))</f>
        <v/>
      </c>
      <c r="E22" s="45">
        <f>(( -A22 - (-0.25) ) * COS(RADIANS($F$1)) - (B22 - 0) * SIN(RADIANS($F$1)) + (-0.25)) * $E$1 - ($G$1 * TAN(RADIANS($H$1)))</f>
        <v/>
      </c>
    </row>
    <row r="23" ht="18" customHeight="1" s="24">
      <c r="A23" s="42" t="n">
        <v>0.45435</v>
      </c>
      <c r="B23" s="42" t="n">
        <v>0.15177</v>
      </c>
      <c r="C23" s="43">
        <f>$G$1</f>
        <v/>
      </c>
      <c r="D23" s="43">
        <f>(( -A23 - (-0.25) ) * SIN(RADIANS($F$1)) + (B23 - 0) * COS(RADIANS($F$1)) - 0.25 * SIN(RADIANS($F$1))) * $E$1 + ($G$1 * TAN(RADIANS($I$1)))</f>
        <v/>
      </c>
      <c r="E23" s="43">
        <f>(( -A23 - (-0.25) ) * COS(RADIANS($F$1)) - (B23 - 0) * SIN(RADIANS($F$1)) + (-0.25)) * $E$1 - ($G$1 * TAN(RADIANS($H$1)))</f>
        <v/>
      </c>
    </row>
    <row r="24" ht="18" customHeight="1" s="24">
      <c r="A24" s="44" t="n">
        <v>0.41638</v>
      </c>
      <c r="B24" s="44" t="n">
        <v>0.15606</v>
      </c>
      <c r="C24" s="45">
        <f>$G$1</f>
        <v/>
      </c>
      <c r="D24" s="45">
        <f>(( -A24 - (-0.25) ) * SIN(RADIANS($F$1)) + (B24 - 0) * COS(RADIANS($F$1)) - 0.25 * SIN(RADIANS($F$1))) * $E$1 + ($G$1 * TAN(RADIANS($I$1)))</f>
        <v/>
      </c>
      <c r="E24" s="45">
        <f>(( -A24 - (-0.25) ) * COS(RADIANS($F$1)) - (B24 - 0) * SIN(RADIANS($F$1)) + (-0.25)) * $E$1 - ($G$1 * TAN(RADIANS($H$1)))</f>
        <v/>
      </c>
    </row>
    <row r="25" ht="18" customHeight="1" s="24">
      <c r="A25" s="42" t="n">
        <v>0.37887</v>
      </c>
      <c r="B25" s="42" t="n">
        <v>0.15868</v>
      </c>
      <c r="C25" s="43">
        <f>$G$1</f>
        <v/>
      </c>
      <c r="D25" s="43">
        <f>(( -A25 - (-0.25) ) * SIN(RADIANS($F$1)) + (B25 - 0) * COS(RADIANS($F$1)) - 0.25 * SIN(RADIANS($F$1))) * $E$1 + ($G$1 * TAN(RADIANS($I$1)))</f>
        <v/>
      </c>
      <c r="E25" s="43">
        <f>(( -A25 - (-0.25) ) * COS(RADIANS($F$1)) - (B25 - 0) * SIN(RADIANS($F$1)) + (-0.25)) * $E$1 - ($G$1 * TAN(RADIANS($H$1)))</f>
        <v/>
      </c>
    </row>
    <row r="26" ht="18" customHeight="1" s="24">
      <c r="A26" s="44" t="n">
        <v>0.34204</v>
      </c>
      <c r="B26" s="44" t="n">
        <v>0.15944</v>
      </c>
      <c r="C26" s="45">
        <f>$G$1</f>
        <v/>
      </c>
      <c r="D26" s="45">
        <f>(( -A26 - (-0.25) ) * SIN(RADIANS($F$1)) + (B26 - 0) * COS(RADIANS($F$1)) - 0.25 * SIN(RADIANS($F$1))) * $E$1 + ($G$1 * TAN(RADIANS($I$1)))</f>
        <v/>
      </c>
      <c r="E26" s="45">
        <f>(( -A26 - (-0.25) ) * COS(RADIANS($F$1)) - (B26 - 0) * SIN(RADIANS($F$1)) + (-0.25)) * $E$1 - ($G$1 * TAN(RADIANS($H$1)))</f>
        <v/>
      </c>
    </row>
    <row r="27" ht="18" customHeight="1" s="24">
      <c r="A27" s="42" t="n">
        <v>0.30609</v>
      </c>
      <c r="B27" s="42" t="n">
        <v>0.1582</v>
      </c>
      <c r="C27" s="43">
        <f>$G$1</f>
        <v/>
      </c>
      <c r="D27" s="43">
        <f>(( -A27 - (-0.25) ) * SIN(RADIANS($F$1)) + (B27 - 0) * COS(RADIANS($F$1)) - 0.25 * SIN(RADIANS($F$1))) * $E$1 + ($G$1 * TAN(RADIANS($I$1)))</f>
        <v/>
      </c>
      <c r="E27" s="43">
        <f>(( -A27 - (-0.25) ) * COS(RADIANS($F$1)) - (B27 - 0) * SIN(RADIANS($F$1)) + (-0.25)) * $E$1 - ($G$1 * TAN(RADIANS($H$1)))</f>
        <v/>
      </c>
    </row>
    <row r="28" ht="18" customHeight="1" s="24">
      <c r="A28" s="44" t="n">
        <v>0.2712</v>
      </c>
      <c r="B28" s="44" t="n">
        <v>0.15493</v>
      </c>
      <c r="C28" s="45">
        <f>$G$1</f>
        <v/>
      </c>
      <c r="D28" s="45">
        <f>(( -A28 - (-0.25) ) * SIN(RADIANS($F$1)) + (B28 - 0) * COS(RADIANS($F$1)) - 0.25 * SIN(RADIANS($F$1))) * $E$1 + ($G$1 * TAN(RADIANS($I$1)))</f>
        <v/>
      </c>
      <c r="E28" s="45">
        <f>(( -A28 - (-0.25) ) * COS(RADIANS($F$1)) - (B28 - 0) * SIN(RADIANS($F$1)) + (-0.25)) * $E$1 - ($G$1 * TAN(RADIANS($H$1)))</f>
        <v/>
      </c>
    </row>
    <row r="29" ht="18" customHeight="1" s="24">
      <c r="A29" s="42" t="n">
        <v>0.2376</v>
      </c>
      <c r="B29" s="42" t="n">
        <v>0.14964</v>
      </c>
      <c r="C29" s="43">
        <f>$G$1</f>
        <v/>
      </c>
      <c r="D29" s="43">
        <f>(( -A29 - (-0.25) ) * SIN(RADIANS($F$1)) + (B29 - 0) * COS(RADIANS($F$1)) - 0.25 * SIN(RADIANS($F$1))) * $E$1 + ($G$1 * TAN(RADIANS($I$1)))</f>
        <v/>
      </c>
      <c r="E29" s="43">
        <f>(( -A29 - (-0.25) ) * COS(RADIANS($F$1)) - (B29 - 0) * SIN(RADIANS($F$1)) + (-0.25)) * $E$1 - ($G$1 * TAN(RADIANS($H$1)))</f>
        <v/>
      </c>
    </row>
    <row r="30" ht="18" customHeight="1" s="24">
      <c r="A30" s="44" t="n">
        <v>0.20549</v>
      </c>
      <c r="B30" s="44" t="n">
        <v>0.14243</v>
      </c>
      <c r="C30" s="45">
        <f>$G$1</f>
        <v/>
      </c>
      <c r="D30" s="45">
        <f>(( -A30 - (-0.25) ) * SIN(RADIANS($F$1)) + (B30 - 0) * COS(RADIANS($F$1)) - 0.25 * SIN(RADIANS($F$1))) * $E$1 + ($G$1 * TAN(RADIANS($I$1)))</f>
        <v/>
      </c>
      <c r="E30" s="45">
        <f>(( -A30 - (-0.25) ) * COS(RADIANS($F$1)) - (B30 - 0) * SIN(RADIANS($F$1)) + (-0.25)) * $E$1 - ($G$1 * TAN(RADIANS($H$1)))</f>
        <v/>
      </c>
    </row>
    <row r="31" ht="18" customHeight="1" s="24">
      <c r="A31" s="42" t="n">
        <v>0.17504</v>
      </c>
      <c r="B31" s="42" t="n">
        <v>0.13344</v>
      </c>
      <c r="C31" s="43">
        <f>$G$1</f>
        <v/>
      </c>
      <c r="D31" s="43">
        <f>(( -A31 - (-0.25) ) * SIN(RADIANS($F$1)) + (B31 - 0) * COS(RADIANS($F$1)) - 0.25 * SIN(RADIANS($F$1))) * $E$1 + ($G$1 * TAN(RADIANS($I$1)))</f>
        <v/>
      </c>
      <c r="E31" s="43">
        <f>(( -A31 - (-0.25) ) * COS(RADIANS($F$1)) - (B31 - 0) * SIN(RADIANS($F$1)) + (-0.25)) * $E$1 - ($G$1 * TAN(RADIANS($H$1)))</f>
        <v/>
      </c>
    </row>
    <row r="32" ht="18" customHeight="1" s="24">
      <c r="A32" s="44" t="n">
        <v>0.14648</v>
      </c>
      <c r="B32" s="44" t="n">
        <v>0.12292</v>
      </c>
      <c r="C32" s="45">
        <f>$G$1</f>
        <v/>
      </c>
      <c r="D32" s="45">
        <f>(( -A32 - (-0.25) ) * SIN(RADIANS($F$1)) + (B32 - 0) * COS(RADIANS($F$1)) - 0.25 * SIN(RADIANS($F$1))) * $E$1 + ($G$1 * TAN(RADIANS($I$1)))</f>
        <v/>
      </c>
      <c r="E32" s="45">
        <f>(( -A32 - (-0.25) ) * COS(RADIANS($F$1)) - (B32 - 0) * SIN(RADIANS($F$1)) + (-0.25)) * $E$1 - ($G$1 * TAN(RADIANS($H$1)))</f>
        <v/>
      </c>
    </row>
    <row r="33" ht="18" customHeight="1" s="24">
      <c r="A33" s="42" t="n">
        <v>0.11999</v>
      </c>
      <c r="B33" s="42" t="n">
        <v>0.1111</v>
      </c>
      <c r="C33" s="43">
        <f>$G$1</f>
        <v/>
      </c>
      <c r="D33" s="43">
        <f>(( -A33 - (-0.25) ) * SIN(RADIANS($F$1)) + (B33 - 0) * COS(RADIANS($F$1)) - 0.25 * SIN(RADIANS($F$1))) * $E$1 + ($G$1 * TAN(RADIANS($I$1)))</f>
        <v/>
      </c>
      <c r="E33" s="43">
        <f>(( -A33 - (-0.25) ) * COS(RADIANS($F$1)) - (B33 - 0) * SIN(RADIANS($F$1)) + (-0.25)) * $E$1 - ($G$1 * TAN(RADIANS($H$1)))</f>
        <v/>
      </c>
    </row>
    <row r="34" ht="18" customHeight="1" s="24">
      <c r="A34" s="44" t="n">
        <v>0.09576</v>
      </c>
      <c r="B34" s="44" t="n">
        <v>0.09826</v>
      </c>
      <c r="C34" s="45">
        <f>$G$1</f>
        <v/>
      </c>
      <c r="D34" s="45">
        <f>(( -A34 - (-0.25) ) * SIN(RADIANS($F$1)) + (B34 - 0) * COS(RADIANS($F$1)) - 0.25 * SIN(RADIANS($F$1))) * $E$1 + ($G$1 * TAN(RADIANS($I$1)))</f>
        <v/>
      </c>
      <c r="E34" s="45">
        <f>(( -A34 - (-0.25) ) * COS(RADIANS($F$1)) - (B34 - 0) * SIN(RADIANS($F$1)) + (-0.25)) * $E$1 - ($G$1 * TAN(RADIANS($H$1)))</f>
        <v/>
      </c>
    </row>
    <row r="35" ht="18" customHeight="1" s="24">
      <c r="A35" s="42" t="n">
        <v>0.07395</v>
      </c>
      <c r="B35" s="42" t="n">
        <v>0.08459</v>
      </c>
      <c r="C35" s="43">
        <f>$G$1</f>
        <v/>
      </c>
      <c r="D35" s="43">
        <f>(( -A35 - (-0.25) ) * SIN(RADIANS($F$1)) + (B35 - 0) * COS(RADIANS($F$1)) - 0.25 * SIN(RADIANS($F$1))) * $E$1 + ($G$1 * TAN(RADIANS($I$1)))</f>
        <v/>
      </c>
      <c r="E35" s="43">
        <f>(( -A35 - (-0.25) ) * COS(RADIANS($F$1)) - (B35 - 0) * SIN(RADIANS($F$1)) + (-0.25)) * $E$1 - ($G$1 * TAN(RADIANS($H$1)))</f>
        <v/>
      </c>
    </row>
    <row r="36" ht="18" customHeight="1" s="24">
      <c r="A36" s="44" t="n">
        <v>0.05468</v>
      </c>
      <c r="B36" s="44" t="n">
        <v>0.0703</v>
      </c>
      <c r="C36" s="45">
        <f>$G$1</f>
        <v/>
      </c>
      <c r="D36" s="45">
        <f>(( -A36 - (-0.25) ) * SIN(RADIANS($F$1)) + (B36 - 0) * COS(RADIANS($F$1)) - 0.25 * SIN(RADIANS($F$1))) * $E$1 + ($G$1 * TAN(RADIANS($I$1)))</f>
        <v/>
      </c>
      <c r="E36" s="45">
        <f>(( -A36 - (-0.25) ) * COS(RADIANS($F$1)) - (B36 - 0) * SIN(RADIANS($F$1)) + (-0.25)) * $E$1 - ($G$1 * TAN(RADIANS($H$1)))</f>
        <v/>
      </c>
    </row>
    <row r="37" ht="18" customHeight="1" s="24">
      <c r="A37" s="42" t="n">
        <v>0.03811</v>
      </c>
      <c r="B37" s="42" t="n">
        <v>0.05576</v>
      </c>
      <c r="C37" s="43">
        <f>$G$1</f>
        <v/>
      </c>
      <c r="D37" s="43">
        <f>(( -A37 - (-0.25) ) * SIN(RADIANS($F$1)) + (B37 - 0) * COS(RADIANS($F$1)) - 0.25 * SIN(RADIANS($F$1))) * $E$1 + ($G$1 * TAN(RADIANS($I$1)))</f>
        <v/>
      </c>
      <c r="E37" s="43">
        <f>(( -A37 - (-0.25) ) * COS(RADIANS($F$1)) - (B37 - 0) * SIN(RADIANS($F$1)) + (-0.25)) * $E$1 - ($G$1 * TAN(RADIANS($H$1)))</f>
        <v/>
      </c>
    </row>
    <row r="38" ht="18" customHeight="1" s="24">
      <c r="A38" s="44" t="n">
        <v>0.02433</v>
      </c>
      <c r="B38" s="44" t="n">
        <v>0.04145</v>
      </c>
      <c r="C38" s="45">
        <f>$G$1</f>
        <v/>
      </c>
      <c r="D38" s="45">
        <f>(( -A38 - (-0.25) ) * SIN(RADIANS($F$1)) + (B38 - 0) * COS(RADIANS($F$1)) - 0.25 * SIN(RADIANS($F$1))) * $E$1 + ($G$1 * TAN(RADIANS($I$1)))</f>
        <v/>
      </c>
      <c r="E38" s="45">
        <f>(( -A38 - (-0.25) ) * COS(RADIANS($F$1)) - (B38 - 0) * SIN(RADIANS($F$1)) + (-0.25)) * $E$1 - ($G$1 * TAN(RADIANS($H$1)))</f>
        <v/>
      </c>
    </row>
    <row r="39" ht="18" customHeight="1" s="24">
      <c r="A39" s="42" t="n">
        <v>0.01338</v>
      </c>
      <c r="B39" s="42" t="n">
        <v>0.02769</v>
      </c>
      <c r="C39" s="43">
        <f>$G$1</f>
        <v/>
      </c>
      <c r="D39" s="43">
        <f>(( -A39 - (-0.25) ) * SIN(RADIANS($F$1)) + (B39 - 0) * COS(RADIANS($F$1)) - 0.25 * SIN(RADIANS($F$1))) * $E$1 + ($G$1 * TAN(RADIANS($I$1)))</f>
        <v/>
      </c>
      <c r="E39" s="43">
        <f>(( -A39 - (-0.25) ) * COS(RADIANS($F$1)) - (B39 - 0) * SIN(RADIANS($F$1)) + (-0.25)) * $E$1 - ($G$1 * TAN(RADIANS($H$1)))</f>
        <v/>
      </c>
    </row>
    <row r="40" ht="18" customHeight="1" s="24">
      <c r="A40" s="44" t="n">
        <v>0.00548</v>
      </c>
      <c r="B40" s="44" t="n">
        <v>0.01518</v>
      </c>
      <c r="C40" s="45">
        <f>$G$1</f>
        <v/>
      </c>
      <c r="D40" s="45">
        <f>(( -A40 - (-0.25) ) * SIN(RADIANS($F$1)) + (B40 - 0) * COS(RADIANS($F$1)) - 0.25 * SIN(RADIANS($F$1))) * $E$1 + ($G$1 * TAN(RADIANS($I$1)))</f>
        <v/>
      </c>
      <c r="E40" s="45">
        <f>(( -A40 - (-0.25) ) * COS(RADIANS($F$1)) - (B40 - 0) * SIN(RADIANS($F$1)) + (-0.25)) * $E$1 - ($G$1 * TAN(RADIANS($H$1)))</f>
        <v/>
      </c>
    </row>
    <row r="41" ht="18" customHeight="1" s="24">
      <c r="A41" s="42" t="n">
        <v>0.00098</v>
      </c>
      <c r="B41" s="42" t="n">
        <v>0.00518</v>
      </c>
      <c r="C41" s="43">
        <f>$G$1</f>
        <v/>
      </c>
      <c r="D41" s="43">
        <f>(( -A41 - (-0.25) ) * SIN(RADIANS($F$1)) + (B41 - 0) * COS(RADIANS($F$1)) - 0.25 * SIN(RADIANS($F$1))) * $E$1 + ($G$1 * TAN(RADIANS($I$1)))</f>
        <v/>
      </c>
      <c r="E41" s="43">
        <f>(( -A41 - (-0.25) ) * COS(RADIANS($F$1)) - (B41 - 0) * SIN(RADIANS($F$1)) + (-0.25)) * $E$1 - ($G$1 * TAN(RADIANS($H$1)))</f>
        <v/>
      </c>
    </row>
    <row r="42" ht="18" customHeight="1" s="24">
      <c r="A42" s="44" t="n">
        <v>0</v>
      </c>
      <c r="B42" s="44" t="n">
        <v>0</v>
      </c>
      <c r="C42" s="45">
        <f>$G$1</f>
        <v/>
      </c>
      <c r="D42" s="45">
        <f>(( -A42 - (-0.25) ) * SIN(RADIANS($F$1)) + (B42 - 0) * COS(RADIANS($F$1)) - 0.25 * SIN(RADIANS($F$1))) * $E$1 + ($G$1 * TAN(RADIANS($I$1)))</f>
        <v/>
      </c>
      <c r="E42" s="45">
        <f>(( -A42 - (-0.25) ) * COS(RADIANS($F$1)) - (B42 - 0) * SIN(RADIANS($F$1)) + (-0.25)) * $E$1 - ($G$1 * TAN(RADIANS($H$1)))</f>
        <v/>
      </c>
    </row>
    <row r="43" ht="18" customHeight="1" s="24">
      <c r="A43" s="42" t="n">
        <v>0.00098</v>
      </c>
      <c r="B43" s="42" t="n">
        <v>-0.00435</v>
      </c>
      <c r="C43" s="43">
        <f>$G$1</f>
        <v/>
      </c>
      <c r="D43" s="43">
        <f>(( -A43 - (-0.25) ) * SIN(RADIANS($F$1)) + (B43 - 0) * COS(RADIANS($F$1)) - 0.25 * SIN(RADIANS($F$1))) * $E$1 + ($G$1 * TAN(RADIANS($I$1)))</f>
        <v/>
      </c>
      <c r="E43" s="43">
        <f>(( -A43 - (-0.25) ) * COS(RADIANS($F$1)) - (B43 - 0) * SIN(RADIANS($F$1)) + (-0.25)) * $E$1 - ($G$1 * TAN(RADIANS($H$1)))</f>
        <v/>
      </c>
    </row>
    <row r="44" ht="18" customHeight="1" s="24">
      <c r="A44" s="44" t="n">
        <v>0.00548</v>
      </c>
      <c r="B44" s="44" t="n">
        <v>-0.00787</v>
      </c>
      <c r="C44" s="45">
        <f>$G$1</f>
        <v/>
      </c>
      <c r="D44" s="45">
        <f>(( -A44 - (-0.25) ) * SIN(RADIANS($F$1)) + (B44 - 0) * COS(RADIANS($F$1)) - 0.25 * SIN(RADIANS($F$1))) * $E$1 + ($G$1 * TAN(RADIANS($I$1)))</f>
        <v/>
      </c>
      <c r="E44" s="45">
        <f>(( -A44 - (-0.25) ) * COS(RADIANS($F$1)) - (B44 - 0) * SIN(RADIANS($F$1)) + (-0.25)) * $E$1 - ($G$1 * TAN(RADIANS($H$1)))</f>
        <v/>
      </c>
    </row>
    <row r="45" ht="18" customHeight="1" s="24">
      <c r="A45" s="42" t="n">
        <v>0.01338</v>
      </c>
      <c r="B45" s="42" t="n">
        <v>-0.008710000000000001</v>
      </c>
      <c r="C45" s="43">
        <f>$G$1</f>
        <v/>
      </c>
      <c r="D45" s="43">
        <f>(( -A45 - (-0.25) ) * SIN(RADIANS($F$1)) + (B45 - 0) * COS(RADIANS($F$1)) - 0.25 * SIN(RADIANS($F$1))) * $E$1 + ($G$1 * TAN(RADIANS($I$1)))</f>
        <v/>
      </c>
      <c r="E45" s="43">
        <f>(( -A45 - (-0.25) ) * COS(RADIANS($F$1)) - (B45 - 0) * SIN(RADIANS($F$1)) + (-0.25)) * $E$1 - ($G$1 * TAN(RADIANS($H$1)))</f>
        <v/>
      </c>
    </row>
    <row r="46" ht="18" customHeight="1" s="24">
      <c r="A46" s="44" t="n">
        <v>0.02433</v>
      </c>
      <c r="B46" s="44" t="n">
        <v>-0.00754</v>
      </c>
      <c r="C46" s="45">
        <f>$G$1</f>
        <v/>
      </c>
      <c r="D46" s="45">
        <f>(( -A46 - (-0.25) ) * SIN(RADIANS($F$1)) + (B46 - 0) * COS(RADIANS($F$1)) - 0.25 * SIN(RADIANS($F$1))) * $E$1 + ($G$1 * TAN(RADIANS($I$1)))</f>
        <v/>
      </c>
      <c r="E46" s="45">
        <f>(( -A46 - (-0.25) ) * COS(RADIANS($F$1)) - (B46 - 0) * SIN(RADIANS($F$1)) + (-0.25)) * $E$1 - ($G$1 * TAN(RADIANS($H$1)))</f>
        <v/>
      </c>
    </row>
    <row r="47" ht="18" customHeight="1" s="24">
      <c r="A47" s="42" t="n">
        <v>0.03811</v>
      </c>
      <c r="B47" s="42" t="n">
        <v>-0.00539</v>
      </c>
      <c r="C47" s="43">
        <f>$G$1</f>
        <v/>
      </c>
      <c r="D47" s="43">
        <f>(( -A47 - (-0.25) ) * SIN(RADIANS($F$1)) + (B47 - 0) * COS(RADIANS($F$1)) - 0.25 * SIN(RADIANS($F$1))) * $E$1 + ($G$1 * TAN(RADIANS($I$1)))</f>
        <v/>
      </c>
      <c r="E47" s="43">
        <f>(( -A47 - (-0.25) ) * COS(RADIANS($F$1)) - (B47 - 0) * SIN(RADIANS($F$1)) + (-0.25)) * $E$1 - ($G$1 * TAN(RADIANS($H$1)))</f>
        <v/>
      </c>
    </row>
    <row r="48" ht="18" customHeight="1" s="24">
      <c r="A48" s="44" t="n">
        <v>0.05468</v>
      </c>
      <c r="B48" s="44" t="n">
        <v>-0.00292</v>
      </c>
      <c r="C48" s="45">
        <f>$G$1</f>
        <v/>
      </c>
      <c r="D48" s="45">
        <f>(( -A48 - (-0.25) ) * SIN(RADIANS($F$1)) + (B48 - 0) * COS(RADIANS($F$1)) - 0.25 * SIN(RADIANS($F$1))) * $E$1 + ($G$1 * TAN(RADIANS($I$1)))</f>
        <v/>
      </c>
      <c r="E48" s="45">
        <f>(( -A48 - (-0.25) ) * COS(RADIANS($F$1)) - (B48 - 0) * SIN(RADIANS($F$1)) + (-0.25)) * $E$1 - ($G$1 * TAN(RADIANS($H$1)))</f>
        <v/>
      </c>
    </row>
    <row r="49" ht="18" customHeight="1" s="24">
      <c r="A49" s="42" t="n">
        <v>0.07395</v>
      </c>
      <c r="B49" s="42" t="n">
        <v>-0.00022</v>
      </c>
      <c r="C49" s="43">
        <f>$G$1</f>
        <v/>
      </c>
      <c r="D49" s="43">
        <f>(( -A49 - (-0.25) ) * SIN(RADIANS($F$1)) + (B49 - 0) * COS(RADIANS($F$1)) - 0.25 * SIN(RADIANS($F$1))) * $E$1 + ($G$1 * TAN(RADIANS($I$1)))</f>
        <v/>
      </c>
      <c r="E49" s="43">
        <f>(( -A49 - (-0.25) ) * COS(RADIANS($F$1)) - (B49 - 0) * SIN(RADIANS($F$1)) + (-0.25)) * $E$1 - ($G$1 * TAN(RADIANS($H$1)))</f>
        <v/>
      </c>
    </row>
    <row r="50" ht="18" customHeight="1" s="24">
      <c r="A50" s="44" t="n">
        <v>0.09576</v>
      </c>
      <c r="B50" s="44" t="n">
        <v>0.0027</v>
      </c>
      <c r="C50" s="45">
        <f>$G$1</f>
        <v/>
      </c>
      <c r="D50" s="45">
        <f>(( -A50 - (-0.25) ) * SIN(RADIANS($F$1)) + (B50 - 0) * COS(RADIANS($F$1)) - 0.25 * SIN(RADIANS($F$1))) * $E$1 + ($G$1 * TAN(RADIANS($I$1)))</f>
        <v/>
      </c>
      <c r="E50" s="45">
        <f>(( -A50 - (-0.25) ) * COS(RADIANS($F$1)) - (B50 - 0) * SIN(RADIANS($F$1)) + (-0.25)) * $E$1 - ($G$1 * TAN(RADIANS($H$1)))</f>
        <v/>
      </c>
    </row>
    <row r="51" ht="18" customHeight="1" s="24">
      <c r="A51" s="42" t="n">
        <v>0.11999</v>
      </c>
      <c r="B51" s="42" t="n">
        <v>0.00584</v>
      </c>
      <c r="C51" s="43">
        <f>$G$1</f>
        <v/>
      </c>
      <c r="D51" s="43">
        <f>(( -A51 - (-0.25) ) * SIN(RADIANS($F$1)) + (B51 - 0) * COS(RADIANS($F$1)) - 0.25 * SIN(RADIANS($F$1))) * $E$1 + ($G$1 * TAN(RADIANS($I$1)))</f>
        <v/>
      </c>
      <c r="E51" s="43">
        <f>(( -A51 - (-0.25) ) * COS(RADIANS($F$1)) - (B51 - 0) * SIN(RADIANS($F$1)) + (-0.25)) * $E$1 - ($G$1 * TAN(RADIANS($H$1)))</f>
        <v/>
      </c>
    </row>
    <row r="52" ht="18" customHeight="1" s="24">
      <c r="A52" s="44" t="n">
        <v>0.14648</v>
      </c>
      <c r="B52" s="44" t="n">
        <v>0.009209999999999999</v>
      </c>
      <c r="C52" s="45">
        <f>$G$1</f>
        <v/>
      </c>
      <c r="D52" s="45">
        <f>(( -A52 - (-0.25) ) * SIN(RADIANS($F$1)) + (B52 - 0) * COS(RADIANS($F$1)) - 0.25 * SIN(RADIANS($F$1))) * $E$1 + ($G$1 * TAN(RADIANS($I$1)))</f>
        <v/>
      </c>
      <c r="E52" s="45">
        <f>(( -A52 - (-0.25) ) * COS(RADIANS($F$1)) - (B52 - 0) * SIN(RADIANS($F$1)) + (-0.25)) * $E$1 - ($G$1 * TAN(RADIANS($H$1)))</f>
        <v/>
      </c>
    </row>
    <row r="53" ht="18" customHeight="1" s="24">
      <c r="A53" s="42" t="n">
        <v>0.17504</v>
      </c>
      <c r="B53" s="42" t="n">
        <v>0.01279</v>
      </c>
      <c r="C53" s="43">
        <f>$G$1</f>
        <v/>
      </c>
      <c r="D53" s="43">
        <f>(( -A53 - (-0.25) ) * SIN(RADIANS($F$1)) + (B53 - 0) * COS(RADIANS($F$1)) - 0.25 * SIN(RADIANS($F$1))) * $E$1 + ($G$1 * TAN(RADIANS($I$1)))</f>
        <v/>
      </c>
      <c r="E53" s="43">
        <f>(( -A53 - (-0.25) ) * COS(RADIANS($F$1)) - (B53 - 0) * SIN(RADIANS($F$1)) + (-0.25)) * $E$1 - ($G$1 * TAN(RADIANS($H$1)))</f>
        <v/>
      </c>
    </row>
    <row r="54" ht="18" customHeight="1" s="24">
      <c r="A54" s="44" t="n">
        <v>0.20549</v>
      </c>
      <c r="B54" s="44" t="n">
        <v>0.01651</v>
      </c>
      <c r="C54" s="45">
        <f>$G$1</f>
        <v/>
      </c>
      <c r="D54" s="45">
        <f>(( -A54 - (-0.25) ) * SIN(RADIANS($F$1)) + (B54 - 0) * COS(RADIANS($F$1)) - 0.25 * SIN(RADIANS($F$1))) * $E$1 + ($G$1 * TAN(RADIANS($I$1)))</f>
        <v/>
      </c>
      <c r="E54" s="45">
        <f>(( -A54 - (-0.25) ) * COS(RADIANS($F$1)) - (B54 - 0) * SIN(RADIANS($F$1)) + (-0.25)) * $E$1 - ($G$1 * TAN(RADIANS($H$1)))</f>
        <v/>
      </c>
    </row>
    <row r="55" ht="18" customHeight="1" s="24">
      <c r="A55" s="42" t="n">
        <v>0.2376</v>
      </c>
      <c r="B55" s="42" t="n">
        <v>0.0203</v>
      </c>
      <c r="C55" s="43">
        <f>$G$1</f>
        <v/>
      </c>
      <c r="D55" s="43">
        <f>(( -A55 - (-0.25) ) * SIN(RADIANS($F$1)) + (B55 - 0) * COS(RADIANS($F$1)) - 0.25 * SIN(RADIANS($F$1))) * $E$1 + ($G$1 * TAN(RADIANS($I$1)))</f>
        <v/>
      </c>
      <c r="E55" s="43">
        <f>(( -A55 - (-0.25) ) * COS(RADIANS($F$1)) - (B55 - 0) * SIN(RADIANS($F$1)) + (-0.25)) * $E$1 - ($G$1 * TAN(RADIANS($H$1)))</f>
        <v/>
      </c>
    </row>
    <row r="56" ht="18" customHeight="1" s="24">
      <c r="A56" s="44" t="n">
        <v>0.2712</v>
      </c>
      <c r="B56" s="44" t="n">
        <v>0.0241</v>
      </c>
      <c r="C56" s="45">
        <f>$G$1</f>
        <v/>
      </c>
      <c r="D56" s="45">
        <f>(( -A56 - (-0.25) ) * SIN(RADIANS($F$1)) + (B56 - 0) * COS(RADIANS($F$1)) - 0.25 * SIN(RADIANS($F$1))) * $E$1 + ($G$1 * TAN(RADIANS($I$1)))</f>
        <v/>
      </c>
      <c r="E56" s="45">
        <f>(( -A56 - (-0.25) ) * COS(RADIANS($F$1)) - (B56 - 0) * SIN(RADIANS($F$1)) + (-0.25)) * $E$1 - ($G$1 * TAN(RADIANS($H$1)))</f>
        <v/>
      </c>
    </row>
    <row r="57" ht="18" customHeight="1" s="24">
      <c r="A57" s="42" t="n">
        <v>0.30609</v>
      </c>
      <c r="B57" s="42" t="n">
        <v>0.02786</v>
      </c>
      <c r="C57" s="43">
        <f>$G$1</f>
        <v/>
      </c>
      <c r="D57" s="43">
        <f>(( -A57 - (-0.25) ) * SIN(RADIANS($F$1)) + (B57 - 0) * COS(RADIANS($F$1)) - 0.25 * SIN(RADIANS($F$1))) * $E$1 + ($G$1 * TAN(RADIANS($I$1)))</f>
        <v/>
      </c>
      <c r="E57" s="43">
        <f>(( -A57 - (-0.25) ) * COS(RADIANS($F$1)) - (B57 - 0) * SIN(RADIANS($F$1)) + (-0.25)) * $E$1 - ($G$1 * TAN(RADIANS($H$1)))</f>
        <v/>
      </c>
    </row>
    <row r="58" ht="18" customHeight="1" s="24">
      <c r="A58" s="44" t="n">
        <v>0.34204</v>
      </c>
      <c r="B58" s="44" t="n">
        <v>0.03152</v>
      </c>
      <c r="C58" s="45">
        <f>$G$1</f>
        <v/>
      </c>
      <c r="D58" s="45">
        <f>(( -A58 - (-0.25) ) * SIN(RADIANS($F$1)) + (B58 - 0) * COS(RADIANS($F$1)) - 0.25 * SIN(RADIANS($F$1))) * $E$1 + ($G$1 * TAN(RADIANS($I$1)))</f>
        <v/>
      </c>
      <c r="E58" s="45">
        <f>(( -A58 - (-0.25) ) * COS(RADIANS($F$1)) - (B58 - 0) * SIN(RADIANS($F$1)) + (-0.25)) * $E$1 - ($G$1 * TAN(RADIANS($H$1)))</f>
        <v/>
      </c>
    </row>
    <row r="59" ht="18" customHeight="1" s="24">
      <c r="A59" s="42" t="n">
        <v>0.37887</v>
      </c>
      <c r="B59" s="42" t="n">
        <v>0.03503</v>
      </c>
      <c r="C59" s="43">
        <f>$G$1</f>
        <v/>
      </c>
      <c r="D59" s="43">
        <f>(( -A59 - (-0.25) ) * SIN(RADIANS($F$1)) + (B59 - 0) * COS(RADIANS($F$1)) - 0.25 * SIN(RADIANS($F$1))) * $E$1 + ($G$1 * TAN(RADIANS($I$1)))</f>
        <v/>
      </c>
      <c r="E59" s="43">
        <f>(( -A59 - (-0.25) ) * COS(RADIANS($F$1)) - (B59 - 0) * SIN(RADIANS($F$1)) + (-0.25)) * $E$1 - ($G$1 * TAN(RADIANS($H$1)))</f>
        <v/>
      </c>
    </row>
    <row r="60" ht="18" customHeight="1" s="24">
      <c r="A60" s="44" t="n">
        <v>0.41638</v>
      </c>
      <c r="B60" s="44" t="n">
        <v>0.03832</v>
      </c>
      <c r="C60" s="45">
        <f>$G$1</f>
        <v/>
      </c>
      <c r="D60" s="45">
        <f>(( -A60 - (-0.25) ) * SIN(RADIANS($F$1)) + (B60 - 0) * COS(RADIANS($F$1)) - 0.25 * SIN(RADIANS($F$1))) * $E$1 + ($G$1 * TAN(RADIANS($I$1)))</f>
        <v/>
      </c>
      <c r="E60" s="45">
        <f>(( -A60 - (-0.25) ) * COS(RADIANS($F$1)) - (B60 - 0) * SIN(RADIANS($F$1)) + (-0.25)) * $E$1 - ($G$1 * TAN(RADIANS($H$1)))</f>
        <v/>
      </c>
    </row>
    <row r="61" ht="18" customHeight="1" s="24">
      <c r="A61" s="42" t="n">
        <v>0.45435</v>
      </c>
      <c r="B61" s="42" t="n">
        <v>0.04134</v>
      </c>
      <c r="C61" s="43">
        <f>$G$1</f>
        <v/>
      </c>
      <c r="D61" s="43">
        <f>(( -A61 - (-0.25) ) * SIN(RADIANS($F$1)) + (B61 - 0) * COS(RADIANS($F$1)) - 0.25 * SIN(RADIANS($F$1))) * $E$1 + ($G$1 * TAN(RADIANS($I$1)))</f>
        <v/>
      </c>
      <c r="E61" s="43">
        <f>(( -A61 - (-0.25) ) * COS(RADIANS($F$1)) - (B61 - 0) * SIN(RADIANS($F$1)) + (-0.25)) * $E$1 - ($G$1 * TAN(RADIANS($H$1)))</f>
        <v/>
      </c>
    </row>
    <row r="62" ht="18" customHeight="1" s="24">
      <c r="A62" s="44" t="n">
        <v>0.49265</v>
      </c>
      <c r="B62" s="44" t="n">
        <v>0.044</v>
      </c>
      <c r="C62" s="45">
        <f>$G$1</f>
        <v/>
      </c>
      <c r="D62" s="45">
        <f>(( -A62 - (-0.25) ) * SIN(RADIANS($F$1)) + (B62 - 0) * COS(RADIANS($F$1)) - 0.25 * SIN(RADIANS($F$1))) * $E$1 + ($G$1 * TAN(RADIANS($I$1)))</f>
        <v/>
      </c>
      <c r="E62" s="45">
        <f>(( -A62 - (-0.25) ) * COS(RADIANS($F$1)) - (B62 - 0) * SIN(RADIANS($F$1)) + (-0.25)) * $E$1 - ($G$1 * TAN(RADIANS($H$1)))</f>
        <v/>
      </c>
    </row>
    <row r="63" ht="18" customHeight="1" s="24">
      <c r="A63" s="42" t="n">
        <v>0.53099</v>
      </c>
      <c r="B63" s="42" t="n">
        <v>0.04624</v>
      </c>
      <c r="C63" s="43">
        <f>$G$1</f>
        <v/>
      </c>
      <c r="D63" s="43">
        <f>(( -A63 - (-0.25) ) * SIN(RADIANS($F$1)) + (B63 - 0) * COS(RADIANS($F$1)) - 0.25 * SIN(RADIANS($F$1))) * $E$1 + ($G$1 * TAN(RADIANS($I$1)))</f>
        <v/>
      </c>
      <c r="E63" s="43">
        <f>(( -A63 - (-0.25) ) * COS(RADIANS($F$1)) - (B63 - 0) * SIN(RADIANS($F$1)) + (-0.25)) * $E$1 - ($G$1 * TAN(RADIANS($H$1)))</f>
        <v/>
      </c>
    </row>
    <row r="64" ht="18" customHeight="1" s="24">
      <c r="A64" s="44" t="n">
        <v>0.56937</v>
      </c>
      <c r="B64" s="44" t="n">
        <v>0.04801</v>
      </c>
      <c r="C64" s="45">
        <f>$G$1</f>
        <v/>
      </c>
      <c r="D64" s="45">
        <f>(( -A64 - (-0.25) ) * SIN(RADIANS($F$1)) + (B64 - 0) * COS(RADIANS($F$1)) - 0.25 * SIN(RADIANS($F$1))) * $E$1 + ($G$1 * TAN(RADIANS($I$1)))</f>
        <v/>
      </c>
      <c r="E64" s="45">
        <f>(( -A64 - (-0.25) ) * COS(RADIANS($F$1)) - (B64 - 0) * SIN(RADIANS($F$1)) + (-0.25)) * $E$1 - ($G$1 * TAN(RADIANS($H$1)))</f>
        <v/>
      </c>
    </row>
    <row r="65" ht="18" customHeight="1" s="24">
      <c r="A65" s="42" t="n">
        <v>0.60778</v>
      </c>
      <c r="B65" s="42" t="n">
        <v>0.04925</v>
      </c>
      <c r="C65" s="43">
        <f>$G$1</f>
        <v/>
      </c>
      <c r="D65" s="43">
        <f>(( -A65 - (-0.25) ) * SIN(RADIANS($F$1)) + (B65 - 0) * COS(RADIANS($F$1)) - 0.25 * SIN(RADIANS($F$1))) * $E$1 + ($G$1 * TAN(RADIANS($I$1)))</f>
        <v/>
      </c>
      <c r="E65" s="43">
        <f>(( -A65 - (-0.25) ) * COS(RADIANS($F$1)) - (B65 - 0) * SIN(RADIANS($F$1)) + (-0.25)) * $E$1 - ($G$1 * TAN(RADIANS($H$1)))</f>
        <v/>
      </c>
    </row>
    <row r="66" ht="18" customHeight="1" s="24">
      <c r="A66" s="44" t="n">
        <v>0.64594</v>
      </c>
      <c r="B66" s="44" t="n">
        <v>0.04992</v>
      </c>
      <c r="C66" s="45">
        <f>$G$1</f>
        <v/>
      </c>
      <c r="D66" s="45">
        <f>(( -A66 - (-0.25) ) * SIN(RADIANS($F$1)) + (B66 - 0) * COS(RADIANS($F$1)) - 0.25 * SIN(RADIANS($F$1))) * $E$1 + ($G$1 * TAN(RADIANS($I$1)))</f>
        <v/>
      </c>
      <c r="E66" s="45">
        <f>(( -A66 - (-0.25) ) * COS(RADIANS($F$1)) - (B66 - 0) * SIN(RADIANS($F$1)) + (-0.25)) * $E$1 - ($G$1 * TAN(RADIANS($H$1)))</f>
        <v/>
      </c>
    </row>
    <row r="67" ht="18" customHeight="1" s="24">
      <c r="A67" s="42" t="n">
        <v>0.68359</v>
      </c>
      <c r="B67" s="42" t="n">
        <v>0.04997</v>
      </c>
      <c r="C67" s="43">
        <f>$G$1</f>
        <v/>
      </c>
      <c r="D67" s="43">
        <f>(( -A67 - (-0.25) ) * SIN(RADIANS($F$1)) + (B67 - 0) * COS(RADIANS($F$1)) - 0.25 * SIN(RADIANS($F$1))) * $E$1 + ($G$1 * TAN(RADIANS($I$1)))</f>
        <v/>
      </c>
      <c r="E67" s="43">
        <f>(( -A67 - (-0.25) ) * COS(RADIANS($F$1)) - (B67 - 0) * SIN(RADIANS($F$1)) + (-0.25)) * $E$1 - ($G$1 * TAN(RADIANS($H$1)))</f>
        <v/>
      </c>
    </row>
    <row r="68" ht="18" customHeight="1" s="24">
      <c r="A68" s="44" t="n">
        <v>0.72043</v>
      </c>
      <c r="B68" s="44" t="n">
        <v>0.04936</v>
      </c>
      <c r="C68" s="45">
        <f>$G$1</f>
        <v/>
      </c>
      <c r="D68" s="45">
        <f>(( -A68 - (-0.25) ) * SIN(RADIANS($F$1)) + (B68 - 0) * COS(RADIANS($F$1)) - 0.25 * SIN(RADIANS($F$1))) * $E$1 + ($G$1 * TAN(RADIANS($I$1)))</f>
        <v/>
      </c>
      <c r="E68" s="45">
        <f>(( -A68 - (-0.25) ) * COS(RADIANS($F$1)) - (B68 - 0) * SIN(RADIANS($F$1)) + (-0.25)) * $E$1 - ($G$1 * TAN(RADIANS($H$1)))</f>
        <v/>
      </c>
    </row>
    <row r="69" ht="18" customHeight="1" s="24">
      <c r="A69" s="42" t="n">
        <v>0.7561600000000001</v>
      </c>
      <c r="B69" s="42" t="n">
        <v>0.04807</v>
      </c>
      <c r="C69" s="43">
        <f>$G$1</f>
        <v/>
      </c>
      <c r="D69" s="43">
        <f>(( -A69 - (-0.25) ) * SIN(RADIANS($F$1)) + (B69 - 0) * COS(RADIANS($F$1)) - 0.25 * SIN(RADIANS($F$1))) * $E$1 + ($G$1 * TAN(RADIANS($I$1)))</f>
        <v/>
      </c>
      <c r="E69" s="43">
        <f>(( -A69 - (-0.25) ) * COS(RADIANS($F$1)) - (B69 - 0) * SIN(RADIANS($F$1)) + (-0.25)) * $E$1 - ($G$1 * TAN(RADIANS($H$1)))</f>
        <v/>
      </c>
    </row>
    <row r="70" ht="18" customHeight="1" s="24">
      <c r="A70" s="44" t="n">
        <v>0.79048</v>
      </c>
      <c r="B70" s="44" t="n">
        <v>0.04608</v>
      </c>
      <c r="C70" s="45">
        <f>$G$1</f>
        <v/>
      </c>
      <c r="D70" s="45">
        <f>(( -A70 - (-0.25) ) * SIN(RADIANS($F$1)) + (B70 - 0) * COS(RADIANS($F$1)) - 0.25 * SIN(RADIANS($F$1))) * $E$1 + ($G$1 * TAN(RADIANS($I$1)))</f>
        <v/>
      </c>
      <c r="E70" s="45">
        <f>(( -A70 - (-0.25) ) * COS(RADIANS($F$1)) - (B70 - 0) * SIN(RADIANS($F$1)) + (-0.25)) * $E$1 - ($G$1 * TAN(RADIANS($H$1)))</f>
        <v/>
      </c>
    </row>
    <row r="71" ht="18" customHeight="1" s="24">
      <c r="A71" s="42" t="n">
        <v>0.82309</v>
      </c>
      <c r="B71" s="42" t="n">
        <v>0.04334</v>
      </c>
      <c r="C71" s="43">
        <f>$G$1</f>
        <v/>
      </c>
      <c r="D71" s="43">
        <f>(( -A71 - (-0.25) ) * SIN(RADIANS($F$1)) + (B71 - 0) * COS(RADIANS($F$1)) - 0.25 * SIN(RADIANS($F$1))) * $E$1 + ($G$1 * TAN(RADIANS($I$1)))</f>
        <v/>
      </c>
      <c r="E71" s="43">
        <f>(( -A71 - (-0.25) ) * COS(RADIANS($F$1)) - (B71 - 0) * SIN(RADIANS($F$1)) + (-0.25)) * $E$1 - ($G$1 * TAN(RADIANS($H$1)))</f>
        <v/>
      </c>
    </row>
    <row r="72" ht="18" customHeight="1" s="24">
      <c r="A72" s="44" t="n">
        <v>0.8537</v>
      </c>
      <c r="B72" s="44" t="n">
        <v>0.03978</v>
      </c>
      <c r="C72" s="45">
        <f>$G$1</f>
        <v/>
      </c>
      <c r="D72" s="45">
        <f>(( -A72 - (-0.25) ) * SIN(RADIANS($F$1)) + (B72 - 0) * COS(RADIANS($F$1)) - 0.25 * SIN(RADIANS($F$1))) * $E$1 + ($G$1 * TAN(RADIANS($I$1)))</f>
        <v/>
      </c>
      <c r="E72" s="45">
        <f>(( -A72 - (-0.25) ) * COS(RADIANS($F$1)) - (B72 - 0) * SIN(RADIANS($F$1)) + (-0.25)) * $E$1 - ($G$1 * TAN(RADIANS($H$1)))</f>
        <v/>
      </c>
    </row>
    <row r="73" ht="18" customHeight="1" s="24">
      <c r="A73" s="42" t="n">
        <v>0.88202</v>
      </c>
      <c r="B73" s="42" t="n">
        <v>0.03537</v>
      </c>
      <c r="C73" s="43">
        <f>$G$1</f>
        <v/>
      </c>
      <c r="D73" s="43">
        <f>(( -A73 - (-0.25) ) * SIN(RADIANS($F$1)) + (B73 - 0) * COS(RADIANS($F$1)) - 0.25 * SIN(RADIANS($F$1))) * $E$1 + ($G$1 * TAN(RADIANS($I$1)))</f>
        <v/>
      </c>
      <c r="E73" s="43">
        <f>(( -A73 - (-0.25) ) * COS(RADIANS($F$1)) - (B73 - 0) * SIN(RADIANS($F$1)) + (-0.25)) * $E$1 - ($G$1 * TAN(RADIANS($H$1)))</f>
        <v/>
      </c>
    </row>
    <row r="74" ht="18" customHeight="1" s="24">
      <c r="A74" s="44" t="n">
        <v>0.9077499999999999</v>
      </c>
      <c r="B74" s="44" t="n">
        <v>0.03013</v>
      </c>
      <c r="C74" s="45">
        <f>$G$1</f>
        <v/>
      </c>
      <c r="D74" s="45">
        <f>(( -A74 - (-0.25) ) * SIN(RADIANS($F$1)) + (B74 - 0) * COS(RADIANS($F$1)) - 0.25 * SIN(RADIANS($F$1))) * $E$1 + ($G$1 * TAN(RADIANS($I$1)))</f>
        <v/>
      </c>
      <c r="E74" s="45">
        <f>(( -A74 - (-0.25) ) * COS(RADIANS($F$1)) - (B74 - 0) * SIN(RADIANS($F$1)) + (-0.25)) * $E$1 - ($G$1 * TAN(RADIANS($H$1)))</f>
        <v/>
      </c>
    </row>
    <row r="75" ht="18" customHeight="1" s="24">
      <c r="A75" s="42" t="n">
        <v>0.93064</v>
      </c>
      <c r="B75" s="42" t="n">
        <v>0.02434</v>
      </c>
      <c r="C75" s="43">
        <f>$G$1</f>
        <v/>
      </c>
      <c r="D75" s="43">
        <f>(( -A75 - (-0.25) ) * SIN(RADIANS($F$1)) + (B75 - 0) * COS(RADIANS($F$1)) - 0.25 * SIN(RADIANS($F$1))) * $E$1 + ($G$1 * TAN(RADIANS($I$1)))</f>
        <v/>
      </c>
      <c r="E75" s="43">
        <f>(( -A75 - (-0.25) ) * COS(RADIANS($F$1)) - (B75 - 0) * SIN(RADIANS($F$1)) + (-0.25)) * $E$1 - ($G$1 * TAN(RADIANS($H$1)))</f>
        <v/>
      </c>
    </row>
    <row r="76" ht="18" customHeight="1" s="24">
      <c r="A76" s="44" t="n">
        <v>0.95044</v>
      </c>
      <c r="B76" s="44" t="n">
        <v>0.01851</v>
      </c>
      <c r="C76" s="45">
        <f>$G$1</f>
        <v/>
      </c>
      <c r="D76" s="45">
        <f>(( -A76 - (-0.25) ) * SIN(RADIANS($F$1)) + (B76 - 0) * COS(RADIANS($F$1)) - 0.25 * SIN(RADIANS($F$1))) * $E$1 + ($G$1 * TAN(RADIANS($I$1)))</f>
        <v/>
      </c>
      <c r="E76" s="45">
        <f>(( -A76 - (-0.25) ) * COS(RADIANS($F$1)) - (B76 - 0) * SIN(RADIANS($F$1)) + (-0.25)) * $E$1 - ($G$1 * TAN(RADIANS($H$1)))</f>
        <v/>
      </c>
    </row>
    <row r="77" ht="18" customHeight="1" s="24">
      <c r="A77" s="42" t="n">
        <v>0.96698</v>
      </c>
      <c r="B77" s="42" t="n">
        <v>0.0129</v>
      </c>
      <c r="C77" s="43">
        <f>$G$1</f>
        <v/>
      </c>
      <c r="D77" s="43">
        <f>(( -A77 - (-0.25) ) * SIN(RADIANS($F$1)) + (B77 - 0) * COS(RADIANS($F$1)) - 0.25 * SIN(RADIANS($F$1))) * $E$1 + ($G$1 * TAN(RADIANS($I$1)))</f>
        <v/>
      </c>
      <c r="E77" s="43">
        <f>(( -A77 - (-0.25) ) * COS(RADIANS($F$1)) - (B77 - 0) * SIN(RADIANS($F$1)) + (-0.25)) * $E$1 - ($G$1 * TAN(RADIANS($H$1)))</f>
        <v/>
      </c>
    </row>
    <row r="78" ht="18" customHeight="1" s="24">
      <c r="A78" s="44" t="n">
        <v>0.98037</v>
      </c>
      <c r="B78" s="44" t="n">
        <v>0.00756</v>
      </c>
      <c r="C78" s="45">
        <f>$G$1</f>
        <v/>
      </c>
      <c r="D78" s="45">
        <f>(( -A78 - (-0.25) ) * SIN(RADIANS($F$1)) + (B78 - 0) * COS(RADIANS($F$1)) - 0.25 * SIN(RADIANS($F$1))) * $E$1 + ($G$1 * TAN(RADIANS($I$1)))</f>
        <v/>
      </c>
      <c r="E78" s="45">
        <f>(( -A78 - (-0.25) ) * COS(RADIANS($F$1)) - (B78 - 0) * SIN(RADIANS($F$1)) + (-0.25)) * $E$1 - ($G$1 * TAN(RADIANS($H$1)))</f>
        <v/>
      </c>
    </row>
    <row r="79" ht="18" customHeight="1" s="24">
      <c r="A79" s="42" t="n">
        <v>0.9907</v>
      </c>
      <c r="B79" s="42" t="n">
        <v>0.00319</v>
      </c>
      <c r="C79" s="43">
        <f>$G$1</f>
        <v/>
      </c>
      <c r="D79" s="43">
        <f>(( -A79 - (-0.25) ) * SIN(RADIANS($F$1)) + (B79 - 0) * COS(RADIANS($F$1)) - 0.25 * SIN(RADIANS($F$1))) * $E$1 + ($G$1 * TAN(RADIANS($I$1)))</f>
        <v/>
      </c>
      <c r="E79" s="43">
        <f>(( -A79 - (-0.25) ) * COS(RADIANS($F$1)) - (B79 - 0) * SIN(RADIANS($F$1)) + (-0.25)) * $E$1 - ($G$1 * TAN(RADIANS($H$1)))</f>
        <v/>
      </c>
    </row>
    <row r="80" ht="18" customHeight="1" s="24">
      <c r="A80" s="44" t="n">
        <v>0.99754</v>
      </c>
      <c r="B80" s="44" t="n">
        <v>0.00068</v>
      </c>
      <c r="C80" s="45">
        <f>$G$1</f>
        <v/>
      </c>
      <c r="D80" s="45">
        <f>(( -A80 - (-0.25) ) * SIN(RADIANS($F$1)) + (B80 - 0) * COS(RADIANS($F$1)) - 0.25 * SIN(RADIANS($F$1))) * $E$1 + ($G$1 * TAN(RADIANS($I$1)))</f>
        <v/>
      </c>
      <c r="E80" s="45">
        <f>(( -A80 - (-0.25) ) * COS(RADIANS($F$1)) - (B80 - 0) * SIN(RADIANS($F$1)) + (-0.25)) * $E$1 - ($G$1 * TAN(RADIANS($H$1)))</f>
        <v/>
      </c>
    </row>
    <row r="81" ht="18" customHeight="1" s="24">
      <c r="A81" s="42" t="n">
        <v>1</v>
      </c>
      <c r="B81" s="42" t="n">
        <v>0</v>
      </c>
      <c r="C81" s="43">
        <f>$G$1</f>
        <v/>
      </c>
      <c r="D81" s="43">
        <f>(( -A81 - (-0.25) ) * SIN(RADIANS($F$1)) + (B81 - 0) * COS(RADIANS($F$1)) - 0.25 * SIN(RADIANS($F$1))) * $E$1 + ($G$1 * TAN(RADIANS($I$1)))</f>
        <v/>
      </c>
      <c r="E81" s="43">
        <f>(( -A81 - (-0.25) ) * COS(RADIANS($F$1)) - (B81 - 0) * SIN(RADIANS($F$1)) + (-0.25)) * $E$1 - ($G$1 * TAN(RADIANS($H$1)))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2026-07-07T04:45:05Z</dcterms:created>
  <dcterms:modified xmlns:dcterms="http://purl.org/dc/terms/" xmlns:xsi="http://www.w3.org/2001/XMLSchema-instance" xsi:type="dcterms:W3CDTF">2026-08-03T02:18:54Z</dcterms:modified>
  <cp:revision>0</cp:revision>
</cp:coreProperties>
</file>